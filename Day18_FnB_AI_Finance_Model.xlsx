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xr:revisionPtr revIDLastSave="0" documentId="8_{CFF59738-F526-415F-9510-DE8687C8E3C3}" xr6:coauthVersionLast="47" xr6:coauthVersionMax="47" xr10:uidLastSave="{00000000-0000-0000-0000-000000000000}"/>
  <bookViews>
    <workbookView xWindow="0" yWindow="0" windowWidth="16384" windowHeight="8192" tabRatio="500" firstSheet="3" xr2:uid="{00000000-000D-0000-FFFF-FFFF00000000}"/>
  </bookViews>
  <sheets>
    <sheet name="1. Assumptions" sheetId="2" r:id="rId1"/>
    <sheet name="2. Unit Economics" sheetId="3" r:id="rId2"/>
    <sheet name="3. P&amp;L &amp; ROI" sheetId="4" r:id="rId3"/>
    <sheet name="4. Sensitivity" sheetId="5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B26" i="4"/>
  <c r="B25" i="4"/>
  <c r="C25" i="4"/>
  <c r="D25" i="4"/>
  <c r="B31" i="4"/>
  <c r="B13" i="4"/>
  <c r="B12" i="4"/>
  <c r="B10" i="4"/>
  <c r="B9" i="4"/>
  <c r="B7" i="4"/>
  <c r="B6" i="4"/>
  <c r="B5" i="4"/>
  <c r="B4" i="4"/>
  <c r="D13" i="3"/>
  <c r="D15" i="3" s="1"/>
  <c r="C13" i="3"/>
  <c r="C15" i="3" s="1"/>
  <c r="B13" i="3"/>
  <c r="B15" i="3" s="1"/>
  <c r="D5" i="3"/>
  <c r="C5" i="3"/>
  <c r="B5" i="3"/>
  <c r="D30" i="2"/>
  <c r="C30" i="2"/>
  <c r="B14" i="4" s="1"/>
  <c r="B30" i="2"/>
  <c r="D24" i="2"/>
  <c r="C24" i="2"/>
  <c r="B11" i="4" s="1"/>
  <c r="B24" i="2"/>
  <c r="D16" i="2"/>
  <c r="D10" i="3" s="1"/>
  <c r="C16" i="2"/>
  <c r="C10" i="3" s="1"/>
  <c r="B16" i="2"/>
  <c r="B10" i="3" s="1"/>
  <c r="D13" i="2"/>
  <c r="D6" i="3" s="1"/>
  <c r="C13" i="2"/>
  <c r="B13" i="2"/>
  <c r="B6" i="3" s="1"/>
  <c r="B8" i="4" l="1"/>
  <c r="C6" i="3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Z23" i="4" s="1"/>
  <c r="B23" i="4"/>
  <c r="B7" i="3"/>
  <c r="C7" i="3"/>
  <c r="D7" i="3"/>
  <c r="Y17" i="4"/>
  <c r="Y22" i="4" s="1"/>
  <c r="X17" i="4"/>
  <c r="X22" i="4" s="1"/>
  <c r="W17" i="4"/>
  <c r="W22" i="4" s="1"/>
  <c r="V17" i="4"/>
  <c r="V22" i="4" s="1"/>
  <c r="U17" i="4"/>
  <c r="U22" i="4" s="1"/>
  <c r="T17" i="4"/>
  <c r="T22" i="4" s="1"/>
  <c r="S17" i="4"/>
  <c r="S22" i="4" s="1"/>
  <c r="R17" i="4"/>
  <c r="R22" i="4" s="1"/>
  <c r="Q17" i="4"/>
  <c r="Q22" i="4" s="1"/>
  <c r="P17" i="4"/>
  <c r="P22" i="4" s="1"/>
  <c r="O17" i="4"/>
  <c r="O22" i="4" s="1"/>
  <c r="N17" i="4"/>
  <c r="N22" i="4" s="1"/>
  <c r="M17" i="4"/>
  <c r="M22" i="4" s="1"/>
  <c r="L17" i="4"/>
  <c r="L22" i="4" s="1"/>
  <c r="K17" i="4"/>
  <c r="K22" i="4" s="1"/>
  <c r="J17" i="4"/>
  <c r="J22" i="4" s="1"/>
  <c r="I17" i="4"/>
  <c r="I22" i="4" s="1"/>
  <c r="H17" i="4"/>
  <c r="H22" i="4" s="1"/>
  <c r="G17" i="4"/>
  <c r="G22" i="4" s="1"/>
  <c r="F17" i="4"/>
  <c r="F22" i="4" s="1"/>
  <c r="E17" i="4"/>
  <c r="E22" i="4" s="1"/>
  <c r="D17" i="4"/>
  <c r="D22" i="4" s="1"/>
  <c r="C17" i="4"/>
  <c r="B17" i="4"/>
  <c r="B22" i="4" s="1"/>
  <c r="C22" i="4" l="1"/>
  <c r="Z22" i="4" s="1"/>
  <c r="B18" i="4"/>
  <c r="Z17" i="4"/>
  <c r="D16" i="3"/>
  <c r="D18" i="3" s="1"/>
  <c r="D11" i="3"/>
  <c r="D8" i="3"/>
  <c r="C16" i="3"/>
  <c r="C18" i="3" s="1"/>
  <c r="C11" i="3"/>
  <c r="C8" i="3"/>
  <c r="B16" i="3"/>
  <c r="B18" i="3" s="1"/>
  <c r="B11" i="3"/>
  <c r="B8" i="3"/>
  <c r="B20" i="4" l="1"/>
  <c r="B19" i="4"/>
  <c r="B21" i="4" s="1"/>
  <c r="B24" i="4" s="1"/>
  <c r="C18" i="4"/>
  <c r="C20" i="4" l="1"/>
  <c r="C19" i="4"/>
  <c r="D18" i="4"/>
  <c r="D20" i="4" l="1"/>
  <c r="D19" i="4"/>
  <c r="D21" i="4" s="1"/>
  <c r="E18" i="4"/>
  <c r="C21" i="4"/>
  <c r="C24" i="4" l="1"/>
  <c r="E20" i="4"/>
  <c r="E19" i="4"/>
  <c r="F18" i="4"/>
  <c r="F20" i="4" l="1"/>
  <c r="F19" i="4"/>
  <c r="F21" i="4" s="1"/>
  <c r="F24" i="4" s="1"/>
  <c r="F25" i="4" s="1"/>
  <c r="G18" i="4"/>
  <c r="E21" i="4"/>
  <c r="C26" i="4" l="1"/>
  <c r="E24" i="4"/>
  <c r="G20" i="4"/>
  <c r="G19" i="4"/>
  <c r="H18" i="4"/>
  <c r="H20" i="4" l="1"/>
  <c r="H19" i="4"/>
  <c r="H21" i="4" s="1"/>
  <c r="H24" i="4" s="1"/>
  <c r="H25" i="4" s="1"/>
  <c r="I18" i="4"/>
  <c r="G21" i="4"/>
  <c r="E25" i="4"/>
  <c r="D26" i="4"/>
  <c r="E26" i="4" l="1"/>
  <c r="F26" i="4" s="1"/>
  <c r="G24" i="4"/>
  <c r="I20" i="4"/>
  <c r="I19" i="4"/>
  <c r="J18" i="4"/>
  <c r="J20" i="4" l="1"/>
  <c r="J19" i="4"/>
  <c r="J21" i="4" s="1"/>
  <c r="J24" i="4" s="1"/>
  <c r="J25" i="4" s="1"/>
  <c r="K18" i="4"/>
  <c r="I21" i="4"/>
  <c r="G25" i="4"/>
  <c r="G26" i="4"/>
  <c r="H26" i="4" l="1"/>
  <c r="I24" i="4"/>
  <c r="K20" i="4"/>
  <c r="K19" i="4"/>
  <c r="L18" i="4"/>
  <c r="L20" i="4" l="1"/>
  <c r="L19" i="4"/>
  <c r="L21" i="4" s="1"/>
  <c r="L24" i="4" s="1"/>
  <c r="L25" i="4" s="1"/>
  <c r="M18" i="4"/>
  <c r="K21" i="4"/>
  <c r="I25" i="4"/>
  <c r="I26" i="4"/>
  <c r="J26" i="4" l="1"/>
  <c r="K24" i="4"/>
  <c r="M20" i="4"/>
  <c r="M19" i="4"/>
  <c r="N18" i="4"/>
  <c r="N20" i="4" l="1"/>
  <c r="N19" i="4"/>
  <c r="N21" i="4" s="1"/>
  <c r="N24" i="4" s="1"/>
  <c r="N25" i="4" s="1"/>
  <c r="O18" i="4"/>
  <c r="M21" i="4"/>
  <c r="K25" i="4"/>
  <c r="K26" i="4"/>
  <c r="L26" i="4" l="1"/>
  <c r="M24" i="4"/>
  <c r="O20" i="4"/>
  <c r="O19" i="4"/>
  <c r="P18" i="4"/>
  <c r="P20" i="4" l="1"/>
  <c r="P19" i="4"/>
  <c r="P21" i="4" s="1"/>
  <c r="P24" i="4" s="1"/>
  <c r="P25" i="4" s="1"/>
  <c r="Q18" i="4"/>
  <c r="O21" i="4"/>
  <c r="M25" i="4"/>
  <c r="M26" i="4"/>
  <c r="N26" i="4" l="1"/>
  <c r="O24" i="4"/>
  <c r="Q20" i="4"/>
  <c r="Q19" i="4"/>
  <c r="R18" i="4"/>
  <c r="R20" i="4" l="1"/>
  <c r="R19" i="4"/>
  <c r="R21" i="4" s="1"/>
  <c r="R24" i="4" s="1"/>
  <c r="R25" i="4" s="1"/>
  <c r="S18" i="4"/>
  <c r="Q21" i="4"/>
  <c r="O25" i="4"/>
  <c r="O26" i="4"/>
  <c r="P26" i="4" l="1"/>
  <c r="Q24" i="4"/>
  <c r="S20" i="4"/>
  <c r="S19" i="4"/>
  <c r="T18" i="4"/>
  <c r="T20" i="4" l="1"/>
  <c r="T19" i="4"/>
  <c r="T21" i="4" s="1"/>
  <c r="T24" i="4" s="1"/>
  <c r="T25" i="4" s="1"/>
  <c r="U18" i="4"/>
  <c r="S21" i="4"/>
  <c r="Q25" i="4"/>
  <c r="Q26" i="4"/>
  <c r="R26" i="4" l="1"/>
  <c r="S24" i="4"/>
  <c r="U20" i="4"/>
  <c r="U19" i="4"/>
  <c r="V18" i="4"/>
  <c r="V20" i="4" l="1"/>
  <c r="V19" i="4"/>
  <c r="V21" i="4" s="1"/>
  <c r="V24" i="4" s="1"/>
  <c r="V25" i="4" s="1"/>
  <c r="W18" i="4"/>
  <c r="U21" i="4"/>
  <c r="S25" i="4"/>
  <c r="S26" i="4"/>
  <c r="T26" i="4" l="1"/>
  <c r="U24" i="4"/>
  <c r="W20" i="4"/>
  <c r="W19" i="4"/>
  <c r="X18" i="4"/>
  <c r="X20" i="4" l="1"/>
  <c r="X19" i="4"/>
  <c r="X21" i="4" s="1"/>
  <c r="X24" i="4" s="1"/>
  <c r="X25" i="4" s="1"/>
  <c r="Y18" i="4"/>
  <c r="W21" i="4"/>
  <c r="U25" i="4"/>
  <c r="U26" i="4"/>
  <c r="V26" i="4" l="1"/>
  <c r="W24" i="4"/>
  <c r="Y20" i="4"/>
  <c r="Z20" i="4" s="1"/>
  <c r="Y19" i="4"/>
  <c r="Z18" i="4"/>
  <c r="Y21" i="4" l="1"/>
  <c r="Z19" i="4"/>
  <c r="W25" i="4"/>
  <c r="W26" i="4"/>
  <c r="X26" i="4" l="1"/>
  <c r="Y24" i="4"/>
  <c r="Z21" i="4"/>
  <c r="Y25" i="4" l="1"/>
  <c r="Z24" i="4"/>
  <c r="Y26" i="4"/>
  <c r="Z26" i="4" l="1"/>
  <c r="B32" i="4"/>
  <c r="B30" i="4"/>
  <c r="Z25" i="4"/>
  <c r="B29" i="4"/>
  <c r="B35" i="4" s="1"/>
</calcChain>
</file>

<file path=xl/sharedStrings.xml><?xml version="1.0" encoding="utf-8"?>
<sst xmlns="http://schemas.openxmlformats.org/spreadsheetml/2006/main" count="211" uniqueCount="183">
  <si>
    <t>Tab 1 — ASSUMPTIONS  /  Giả định đầu vào</t>
  </si>
  <si>
    <t>Luật chơi: chỉ điền vào các ô MÀU VÀNG. Các ô khác là công thức và sẽ tự tính.</t>
  </si>
  <si>
    <t>Chỉ số / Item</t>
  </si>
  <si>
    <t>Optimistic</t>
  </si>
  <si>
    <t>Base</t>
  </si>
  <si>
    <t>Pessimistic</t>
  </si>
  <si>
    <t>Đơn vị</t>
  </si>
  <si>
    <t>Ghi chú / Note</t>
  </si>
  <si>
    <t>1. Product &amp; Pricing  /  Sản phẩm &amp; Giá</t>
  </si>
  <si>
    <t>ARPU — Giá bán bình quân/brand/tháng</t>
  </si>
  <si>
    <t>VND</t>
  </si>
  <si>
    <t>Base = gói Standard ~2.5tr/tháng. Brand 10–100 chi nhánh; benchmark SaaS SME VN</t>
  </si>
  <si>
    <t>Adoption rate — % SAM chuyển thành brand trả tiền/tháng</t>
  </si>
  <si>
    <t>%/tháng</t>
  </si>
  <si>
    <t>SAM ~3,000–5,000 brands tại HN+HCM; conversion từ pilot ~30%</t>
  </si>
  <si>
    <t>Total addressable market — SAM (số brand tiềm năng)</t>
  </si>
  <si>
    <t>brands</t>
  </si>
  <si>
    <t>Chuỗi F&amp;B 10–100 chi nhánh, đã dùng Zalo OA, có đội CSKH</t>
  </si>
  <si>
    <t>2. COGS  /  Chi phí biến đổi trên mỗi brand/tháng</t>
  </si>
  <si>
    <t>API cost / brand / tháng (Claude Haiku + Sonnet)</t>
  </si>
  <si>
    <t>~50K–200K messages/brand/tháng × Claude Haiku cost; Sonnet cho edge cases</t>
  </si>
  <si>
    <t>Hidden costs (QA, prompt engineering, model monitoring)</t>
  </si>
  <si>
    <t>Đừng quên! Cục giết startup AI — labeling, retraining, QA conversation</t>
  </si>
  <si>
    <t>Infrastructure (server, DB, Zalo OA webhook) / brand</t>
  </si>
  <si>
    <t>Allocate cloud cost (Railway/AWS) per brand theo volume tin nhắn</t>
  </si>
  <si>
    <t>Customer success (onboarding support, pro-rata) / brand</t>
  </si>
  <si>
    <t>Nhân viên CS support onboarding 15 phút + tuần đầu theo dõi</t>
  </si>
  <si>
    <t>→ Tổng COGS / brand / tháng</t>
  </si>
  <si>
    <t>3. Customer Behavior  /  Hành vi brand khách hàng</t>
  </si>
  <si>
    <t>Monthly Churn Rate — % brand rời mỗi tháng</t>
  </si>
  <si>
    <t>%</t>
  </si>
  <si>
    <t>B2B SaaS benchmark &lt; 5%/tháng. F&amp;B SME VN có thể cao hơn do ngân sách nhạy cảm</t>
  </si>
  <si>
    <t>→ Số tháng ở lại trung bình = 1/Churn</t>
  </si>
  <si>
    <t>4. Sales &amp; Marketing  /  Chi phí thu hút brand</t>
  </si>
  <si>
    <t>CAC — Chi phí có 1 brand mới (Marketing + Sales)</t>
  </si>
  <si>
    <t>F&amp;B community event + direct sales. Base = ~1 tháng lương BDR/số brands ký</t>
  </si>
  <si>
    <t>5. Fixed Costs  /  Chi phí cố định hàng tháng</t>
  </si>
  <si>
    <t>Lương team: 1 PM + 1 Backend Dev + 1 AI Engineer</t>
  </si>
  <si>
    <t>VND/tháng</t>
  </si>
  <si>
    <t>Base = ~33tr/người. Scale up nếu cần CS thêm sau M6</t>
  </si>
  <si>
    <t>Zalo OA partner fee + tools (n8n, monitoring, DB)</t>
  </si>
  <si>
    <t>Zalo OA API partner license + stack tool vận hành</t>
  </si>
  <si>
    <t>Marketing &amp; community (F&amp;B event, content, ads)</t>
  </si>
  <si>
    <t>Focus F&amp;B Vietnam community, hội thảo KiotViet/MISA, LinkedIn Ads</t>
  </si>
  <si>
    <t>Office &amp; misc (co-working, legal, accounting)</t>
  </si>
  <si>
    <t>Giai đoạn đầu dùng co-working; không cần văn phòng riêng</t>
  </si>
  <si>
    <t>→ Tổng Fixed Cost / tháng</t>
  </si>
  <si>
    <t>6. Initial Investment  /  Vốn đầu tư ban đầu</t>
  </si>
  <si>
    <t>Vốn đầu tư ban đầu (build MVP 6 tuần + setup)</t>
  </si>
  <si>
    <t>Chi phí 1 lần: lương team build MVP, Zalo OA setup, legal DPA, pilot support</t>
  </si>
  <si>
    <t>Tiền mặt ban đầu (sau khi đã trừ vốn đầu tư)</t>
  </si>
  <si>
    <t>Runway tối thiểu 12 tháng fixed cost. Target: pre-seed ~2 tỷ VND</t>
  </si>
  <si>
    <t>7. Discount Rate  /  Tỷ suất chiết khấu (cho NPV)</t>
  </si>
  <si>
    <t>Annual discount rate (WACC)</t>
  </si>
  <si>
    <t>%/năm</t>
  </si>
  <si>
    <t>Kỳ vọng tối thiểu investor cho AI startup rủi ro cao</t>
  </si>
  <si>
    <t>→ Monthly discount rate = (1+WACC)^(1/12)−1</t>
  </si>
  <si>
    <t>8. Decision Note  /  Ghi chú quyết định</t>
  </si>
  <si>
    <t>ARPU 2.5tr/tháng (Base) dựa trên benchmark SaaS SME Việt Nam: tool phổ biến nhất cho F&amp;B dao động 1–5tr/tháng, chọn 2.5tr vì giải quyết pain point trực tiếp (mất đơn hàng = mất doanh thu) nên WTP cao hơn "nice-to-have" tools. CAC 3tr (Base) = tổng chi phí events + content + BDR chia cho số brands ký mỗi tháng; con số này cần validate sau 3 tháng pilot đầu tiên.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</si>
  <si>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</si>
  <si>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</si>
  <si>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</si>
  <si>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</si>
  <si>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brand / per brand</t>
  </si>
  <si>
    <t>ARPU / tháng</t>
  </si>
  <si>
    <t>Liên kết từ Tab Assumptions</t>
  </si>
  <si>
    <t>COGS / tháng</t>
  </si>
  <si>
    <t>Tổng chi phí biến đổi / brand</t>
  </si>
  <si>
    <t>→ Gross Profit / tháng</t>
  </si>
  <si>
    <t>ARPU − COGS</t>
  </si>
  <si>
    <t>→ Gross Margin %</t>
  </si>
  <si>
    <t>AI product target 40–60%. Base phải &gt;40% để sustainable</t>
  </si>
  <si>
    <t>LTV — Customer Lifetime Value</t>
  </si>
  <si>
    <t>Số tháng ở lại trung bình</t>
  </si>
  <si>
    <t>tháng</t>
  </si>
  <si>
    <t>1 / Churn Rate từ Tab 1</t>
  </si>
  <si>
    <t>→ LTV = Gross Profit × Số tháng ở lại</t>
  </si>
  <si>
    <t>Tổng lợi nhuận gộp một brand mang lại trong vòng đời</t>
  </si>
  <si>
    <t>CAC — Customer Acquisition Cost</t>
  </si>
  <si>
    <t>CAC — Chi phí thu hút 1 brand</t>
  </si>
  <si>
    <t>Liên kết từ Tab 1 — Section 4</t>
  </si>
  <si>
    <t>Key Ratios  /  Tỷ lệ then chốt</t>
  </si>
  <si>
    <t>→ LTV / CAC Ratio</t>
  </si>
  <si>
    <t>🎯 Target &gt; 3.0x (tiêu chuẩn vàng VC)</t>
  </si>
  <si>
    <t>→ CAC Payback Period (tháng)</t>
  </si>
  <si>
    <t>🎯 Target &lt; 12 tháng (early-stage SaaS)</t>
  </si>
  <si>
    <t>Verdict  /  Kết luận Unit Economics</t>
  </si>
  <si>
    <t>Unit Economics Status</t>
  </si>
  <si>
    <t>Tab 3 — P&amp;L &amp; ROI  /  24 tháng</t>
  </si>
  <si>
    <t>Chọn scenario tại B3. Toàn bộ P&amp;L tự cập nhật theo scenario đã chọn.</t>
  </si>
  <si>
    <t>Chọn scenario:</t>
  </si>
  <si>
    <t>← Đổi: Optimistic / Base / Pessimistic</t>
  </si>
  <si>
    <t>Active scenario index:</t>
  </si>
  <si>
    <t>ARPU / brand / tháng</t>
  </si>
  <si>
    <t>Adoption rate</t>
  </si>
  <si>
    <t>SAM (số brand tiềm năng)</t>
  </si>
  <si>
    <t>Total COGS / brand</t>
  </si>
  <si>
    <t>Monthly Churn Rate</t>
  </si>
  <si>
    <t>CAC / brand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</si>
  <si>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</si>
  <si>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</si>
  <si>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</si>
  <si>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</si>
  <si>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</si>
  <si>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</si>
  <si>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</si>
  <si>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</si>
  <si>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</si>
  <si>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</si>
  <si>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</si>
  <si>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</si>
  <si>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</si>
  <si>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</si>
  <si>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</si>
  <si>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</si>
  <si>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</si>
  <si>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</si>
  <si>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</si>
  <si>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</si>
  <si>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</si>
  <si>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</si>
  <si>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</si>
  <si>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</si>
  <si>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</si>
  <si>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</si>
  <si>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</si>
  <si>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</si>
  <si>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</si>
  <si>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</si>
  <si>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</si>
  <si>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brands acquired</t>
  </si>
  <si>
    <t>Active brands (end of month)</t>
  </si>
  <si>
    <t>Revenue</t>
  </si>
  <si>
    <t>COGS (variable cost)</t>
  </si>
  <si>
    <t>Gross Profit</t>
  </si>
  <si>
    <t>Marketing / 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</si>
  <si>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</si>
  <si>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</si>
  <si>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</si>
  <si>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</si>
  <si>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</si>
  <si>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triệu VND)</t>
  </si>
  <si>
    <t>(target: &gt; 0)</t>
  </si>
  <si>
    <t>IRR (Annual, annualized from monthly)</t>
  </si>
  <si>
    <t>(target: &gt; 20.0%)</t>
  </si>
  <si>
    <t>Project Payback (tháng đầu tiên cash position &gt; 0)</t>
  </si>
  <si>
    <t>(target: &lt; 24 tháng)</t>
  </si>
  <si>
    <t>Runway (tháng trước khi cash position = 0)</t>
  </si>
  <si>
    <t>(target: &gt;= 12 tháng)</t>
  </si>
  <si>
    <t>Final Verdict  /  Có nên làm dự án này?</t>
  </si>
  <si>
    <t>Project Decision</t>
  </si>
  <si>
    <t>Tab 4 — SENSITIVITY  /  Phân tích độ nhạy</t>
  </si>
  <si>
    <t>Xem LTV/CAC thay đổi thế nào khi ARPU và Churn Rate thay đổi. Ô XANH = healthy (&gt;3x).</t>
  </si>
  <si>
    <t>LTV/CAC Ratio — ARPU (hàng) × Churn Rate (cột)</t>
  </si>
  <si>
    <t>ARPU \ Churn →</t>
  </si>
  <si>
    <t>3%</t>
  </si>
  <si>
    <t>4%</t>
  </si>
  <si>
    <t>5%</t>
  </si>
  <si>
    <t>6%</t>
  </si>
  <si>
    <t>8%</t>
  </si>
  <si>
    <t>10%</t>
  </si>
  <si>
    <t>12%</t>
  </si>
  <si>
    <t>1.0 tr VND</t>
  </si>
  <si>
    <t>1.5 tr VND</t>
  </si>
  <si>
    <t>2.0 tr VND</t>
  </si>
  <si>
    <t>2.5 tr VND</t>
  </si>
  <si>
    <t>3.0 tr VND</t>
  </si>
  <si>
    <t>3.5 tr VND</t>
  </si>
  <si>
    <t>4.0 tr VND</t>
  </si>
  <si>
    <t>Chú thích màu:</t>
  </si>
  <si>
    <t>≥ 3.0x Healthy</t>
  </si>
  <si>
    <t>1.5–3.0x Caution</t>
  </si>
  <si>
    <t>&lt; 1.5x Danger</t>
  </si>
  <si>
    <t>Revenue Month 12 (triệu VND) — ARPU × Adoption Rate</t>
  </si>
  <si>
    <t>ARPU \ Adopt →</t>
  </si>
  <si>
    <t>0.1%</t>
  </si>
  <si>
    <t>0.2%</t>
  </si>
  <si>
    <t>0.3%</t>
  </si>
  <si>
    <t>0.4%</t>
  </si>
  <si>
    <t>0.6%</t>
  </si>
  <si>
    <t>0.8%</t>
  </si>
  <si>
    <t>1.2%</t>
  </si>
  <si>
    <t>Đơn vị: triệu VND. Xanh &gt; 200tr/tháng, Vàng &gt; 80tr, Đỏ &lt; 80tr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</si>
</sst>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-0.0%;\-"/>
    <numFmt numFmtId="166" formatCode="0.0;\-0.0;\-"/>
    <numFmt numFmtId="167" formatCode="0.0000%;\-0.0000%;\-"/>
    <numFmt numFmtId="168" formatCode="0.0\x;\-0.0\x;\-"/>
    <numFmt numFmtId="169" formatCode="#,##0.0;\(#,##0.0\);\-"/>
    <numFmt numFmtId="170" formatCode="0;\-0;\-"/>
  </numFmts>
  <fonts count="25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666666"/>
      <name val="Arial"/>
      <charset val="1"/>
    </font>
    <font>
      <i/>
      <sz val="10"/>
      <color rgb="FF555555"/>
      <name val="Arial"/>
      <charset val="1"/>
    </font>
    <font>
      <b/>
      <sz val="10"/>
      <color rgb="FF000000"/>
      <name val="Arial"/>
      <charset val="1"/>
    </font>
    <font>
      <i/>
      <sz val="9"/>
      <color rgb="FF444444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9"/>
      <color rgb="FF666666"/>
      <name val="Arial"/>
      <charset val="1"/>
    </font>
    <font>
      <i/>
      <sz val="8"/>
      <color rgb="FF888888"/>
      <name val="Arial"/>
      <charset val="1"/>
    </font>
    <font>
      <sz val="8"/>
      <color rgb="FF008000"/>
      <name val="Arial"/>
      <charset val="1"/>
    </font>
    <font>
      <i/>
      <sz val="10"/>
      <color rgb="FF666666"/>
      <name val="Arial"/>
      <charset val="1"/>
    </font>
    <font>
      <b/>
      <sz val="11"/>
      <color rgb="FF1A5C2A"/>
      <name val="Arial"/>
      <charset val="1"/>
    </font>
    <font>
      <sz val="11"/>
      <color rgb="FF7D5A00"/>
      <name val="Arial"/>
      <charset val="1"/>
    </font>
    <font>
      <b/>
      <sz val="10"/>
      <color rgb="FF1A5C2A"/>
      <name val="Arial"/>
      <charset val="1"/>
    </font>
    <font>
      <b/>
      <sz val="10"/>
      <color rgb="FF7D5A00"/>
      <name val="Arial"/>
      <charset val="1"/>
    </font>
    <font>
      <b/>
      <sz val="10"/>
      <color rgb="FF8B0000"/>
      <name val="Arial"/>
      <charset val="1"/>
    </font>
    <font>
      <sz val="11"/>
      <color rgb="FF8B0000"/>
      <name val="Arial"/>
      <charset val="1"/>
    </font>
    <font>
      <i/>
      <sz val="8"/>
      <color rgb="FF666666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2F2F2"/>
        <bgColor rgb="FFF8F8F8"/>
      </patternFill>
    </fill>
    <fill>
      <patternFill patternType="solid">
        <fgColor rgb="FFD6E4F7"/>
        <bgColor rgb="FFE2EFDA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CE4D6"/>
      </patternFill>
    </fill>
    <fill>
      <patternFill patternType="solid">
        <fgColor rgb="FFE07B39"/>
        <bgColor rgb="FFFF6600"/>
      </patternFill>
    </fill>
    <fill>
      <patternFill patternType="solid">
        <fgColor rgb="FFFFFFFF"/>
        <bgColor rgb="FFFFFBF0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FFBF0"/>
      </patternFill>
    </fill>
    <fill>
      <patternFill patternType="solid">
        <fgColor rgb="FFFFFBF0"/>
        <bgColor rgb="FFF8F8F8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left" vertical="center"/>
    </xf>
    <xf numFmtId="165" fontId="6" fillId="10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166" fontId="5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5" fillId="4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8" fontId="9" fillId="4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7" fontId="16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170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168" fontId="18" fillId="6" borderId="0" xfId="0" applyNumberFormat="1" applyFont="1" applyFill="1" applyAlignment="1">
      <alignment horizontal="center" vertical="center"/>
    </xf>
    <xf numFmtId="168" fontId="19" fillId="13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164" fontId="23" fillId="7" borderId="0" xfId="0" applyNumberFormat="1" applyFont="1" applyFill="1" applyAlignment="1">
      <alignment horizontal="center" vertical="center"/>
    </xf>
    <xf numFmtId="164" fontId="19" fillId="13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0" fillId="12" borderId="0" xfId="0" applyFont="1" applyFill="1" applyBorder="1" applyAlignment="1">
      <alignment horizontal="left" vertical="top" wrapText="1"/>
    </xf>
    <xf numFmtId="0" fontId="4" fillId="8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D5A00"/>
      <rgbColor rgb="FF800080"/>
      <rgbColor rgb="FF008080"/>
      <rgbColor rgb="FFCCCCCC"/>
      <rgbColor rgb="FF888888"/>
      <rgbColor rgb="FF9999FF"/>
      <rgbColor rgb="FF555555"/>
      <rgbColor rgb="FFFFF2CC"/>
      <rgbColor rgb="FFF2F2F2"/>
      <rgbColor rgb="FF660066"/>
      <rgbColor rgb="FFE07B39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E2EFDA"/>
      <rgbColor rgb="FFFFFBF0"/>
      <rgbColor rgb="FF99CCFF"/>
      <rgbColor rgb="FFFFE0E0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5C2A"/>
      <rgbColor rgb="FF993300"/>
      <rgbColor rgb="FF993366"/>
      <rgbColor rgb="FF1F4E8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zoomScaleNormal="100" workbookViewId="0">
      <pane xSplit="1" ySplit="3" topLeftCell="B17" activePane="bottomRight" state="frozen"/>
      <selection pane="bottomRight" activeCell="F10" sqref="F10"/>
      <selection pane="bottomLeft" activeCell="A4" sqref="A4"/>
      <selection pane="topRight" activeCell="B1" sqref="B1"/>
    </sheetView>
  </sheetViews>
  <sheetFormatPr defaultColWidth="8.7109375" defaultRowHeight="15"/>
  <cols>
    <col min="1" max="1" width="42" style="1" customWidth="1"/>
    <col min="2" max="4" width="16" style="1" customWidth="1"/>
    <col min="5" max="5" width="14" style="1" customWidth="1"/>
    <col min="6" max="6" width="38" style="1" customWidth="1"/>
  </cols>
  <sheetData>
    <row r="1" spans="1:9" ht="30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9" ht="18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</row>
    <row r="3" spans="1:9" ht="1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9" ht="15.75" customHeight="1">
      <c r="A4" s="61" t="s">
        <v>8</v>
      </c>
      <c r="B4" s="61"/>
      <c r="C4" s="61"/>
      <c r="D4" s="61"/>
      <c r="E4" s="61"/>
      <c r="F4" s="61"/>
    </row>
    <row r="5" spans="1:9" ht="18" customHeight="1">
      <c r="A5" s="3" t="s">
        <v>9</v>
      </c>
      <c r="B5" s="4">
        <v>3500000</v>
      </c>
      <c r="C5" s="4">
        <v>2500000</v>
      </c>
      <c r="D5" s="4">
        <v>1500000</v>
      </c>
      <c r="E5" s="5" t="s">
        <v>10</v>
      </c>
      <c r="F5" s="6" t="s">
        <v>11</v>
      </c>
    </row>
    <row r="6" spans="1:9" ht="18" customHeight="1">
      <c r="A6" s="7" t="s">
        <v>12</v>
      </c>
      <c r="B6" s="8">
        <v>8.0000000000000002E-3</v>
      </c>
      <c r="C6" s="8">
        <v>4.0000000000000001E-3</v>
      </c>
      <c r="D6" s="8">
        <v>1E-3</v>
      </c>
      <c r="E6" s="5" t="s">
        <v>13</v>
      </c>
      <c r="F6" s="6" t="s">
        <v>14</v>
      </c>
    </row>
    <row r="7" spans="1:9" ht="18" customHeight="1">
      <c r="A7" s="3" t="s">
        <v>15</v>
      </c>
      <c r="B7" s="4">
        <v>4000</v>
      </c>
      <c r="C7" s="4">
        <v>4000</v>
      </c>
      <c r="D7" s="4">
        <v>4000</v>
      </c>
      <c r="E7" s="5" t="s">
        <v>16</v>
      </c>
      <c r="F7" s="6" t="s">
        <v>17</v>
      </c>
    </row>
    <row r="8" spans="1:9" ht="15" customHeight="1">
      <c r="A8" s="61" t="s">
        <v>18</v>
      </c>
      <c r="B8" s="61"/>
      <c r="C8" s="61"/>
      <c r="D8" s="61"/>
      <c r="E8" s="61"/>
      <c r="F8" s="61"/>
    </row>
    <row r="9" spans="1:9" ht="18" customHeight="1">
      <c r="A9" s="3" t="s">
        <v>19</v>
      </c>
      <c r="B9" s="4">
        <v>80000</v>
      </c>
      <c r="C9" s="4">
        <v>120000</v>
      </c>
      <c r="D9" s="4">
        <v>180000</v>
      </c>
      <c r="E9" s="5" t="s">
        <v>10</v>
      </c>
      <c r="F9" s="6" t="s">
        <v>20</v>
      </c>
    </row>
    <row r="10" spans="1:9" ht="18" customHeight="1">
      <c r="A10" s="7" t="s">
        <v>21</v>
      </c>
      <c r="B10" s="4">
        <v>20000</v>
      </c>
      <c r="C10" s="4">
        <v>40000</v>
      </c>
      <c r="D10" s="4">
        <v>70000</v>
      </c>
      <c r="E10" s="5" t="s">
        <v>10</v>
      </c>
      <c r="F10" s="6" t="s">
        <v>22</v>
      </c>
    </row>
    <row r="11" spans="1:9" ht="18" customHeight="1">
      <c r="A11" s="3" t="s">
        <v>23</v>
      </c>
      <c r="B11" s="4">
        <v>15000</v>
      </c>
      <c r="C11" s="4">
        <v>25000</v>
      </c>
      <c r="D11" s="4">
        <v>40000</v>
      </c>
      <c r="E11" s="5" t="s">
        <v>10</v>
      </c>
      <c r="F11" s="6" t="s">
        <v>24</v>
      </c>
    </row>
    <row r="12" spans="1:9" ht="18" customHeight="1">
      <c r="A12" s="7" t="s">
        <v>25</v>
      </c>
      <c r="B12" s="4">
        <v>30000</v>
      </c>
      <c r="C12" s="4">
        <v>50000</v>
      </c>
      <c r="D12" s="4">
        <v>80000</v>
      </c>
      <c r="E12" s="5" t="s">
        <v>10</v>
      </c>
      <c r="F12" s="6" t="s">
        <v>26</v>
      </c>
    </row>
    <row r="13" spans="1:9" ht="18" customHeight="1">
      <c r="A13" s="9" t="s">
        <v>27</v>
      </c>
      <c r="B13" s="10">
        <f>SUM(B9:B12)</f>
        <v>145000</v>
      </c>
      <c r="C13" s="10">
        <f>SUM(C9:C12)</f>
        <v>235000</v>
      </c>
      <c r="D13" s="10">
        <f>SUM(D9:D12)</f>
        <v>370000</v>
      </c>
    </row>
    <row r="14" spans="1:9" ht="15" customHeight="1">
      <c r="A14" s="61" t="s">
        <v>28</v>
      </c>
      <c r="B14" s="61"/>
      <c r="C14" s="61"/>
      <c r="D14" s="61"/>
      <c r="E14" s="61"/>
      <c r="F14" s="61"/>
    </row>
    <row r="15" spans="1:9" ht="18" customHeight="1">
      <c r="A15" s="3" t="s">
        <v>29</v>
      </c>
      <c r="B15" s="8">
        <v>0.03</v>
      </c>
      <c r="C15" s="8">
        <v>0.06</v>
      </c>
      <c r="D15" s="8">
        <v>0.1</v>
      </c>
      <c r="E15" s="5" t="s">
        <v>30</v>
      </c>
      <c r="F15" s="6" t="s">
        <v>31</v>
      </c>
    </row>
    <row r="16" spans="1:9" ht="18" customHeight="1">
      <c r="A16" s="11" t="s">
        <v>32</v>
      </c>
      <c r="B16" s="12">
        <f>IF(B15=0,"-",1/B15)</f>
        <v>33.333333333333336</v>
      </c>
      <c r="C16" s="12">
        <f>IF(C15=0,"-",1/C15)</f>
        <v>16.666666666666668</v>
      </c>
      <c r="D16" s="12">
        <f>IF(D15=0,"-",1/D15)</f>
        <v>10</v>
      </c>
    </row>
    <row r="17" spans="1:6" ht="15" customHeight="1">
      <c r="A17" s="61" t="s">
        <v>33</v>
      </c>
      <c r="B17" s="61"/>
      <c r="C17" s="61"/>
      <c r="D17" s="61"/>
      <c r="E17" s="61"/>
      <c r="F17" s="61"/>
    </row>
    <row r="18" spans="1:6" ht="18" customHeight="1">
      <c r="A18" s="3" t="s">
        <v>34</v>
      </c>
      <c r="B18" s="4">
        <v>1500000</v>
      </c>
      <c r="C18" s="4">
        <v>3000000</v>
      </c>
      <c r="D18" s="4">
        <v>6000000</v>
      </c>
      <c r="E18" s="5" t="s">
        <v>10</v>
      </c>
      <c r="F18" s="6" t="s">
        <v>35</v>
      </c>
    </row>
    <row r="19" spans="1:6" ht="15" customHeight="1">
      <c r="A19" s="61" t="s">
        <v>36</v>
      </c>
      <c r="B19" s="61"/>
      <c r="C19" s="61"/>
      <c r="D19" s="61"/>
      <c r="E19" s="61"/>
      <c r="F19" s="61"/>
    </row>
    <row r="20" spans="1:6" ht="18" customHeight="1">
      <c r="A20" s="3" t="s">
        <v>37</v>
      </c>
      <c r="B20" s="4">
        <v>80000000</v>
      </c>
      <c r="C20" s="4">
        <v>100000000</v>
      </c>
      <c r="D20" s="4">
        <v>130000000</v>
      </c>
      <c r="E20" s="5" t="s">
        <v>38</v>
      </c>
      <c r="F20" s="6" t="s">
        <v>39</v>
      </c>
    </row>
    <row r="21" spans="1:6" ht="18" customHeight="1">
      <c r="A21" s="7" t="s">
        <v>40</v>
      </c>
      <c r="B21" s="4">
        <v>10000000</v>
      </c>
      <c r="C21" s="4">
        <v>15000000</v>
      </c>
      <c r="D21" s="4">
        <v>20000000</v>
      </c>
      <c r="E21" s="5" t="s">
        <v>38</v>
      </c>
      <c r="F21" s="6" t="s">
        <v>41</v>
      </c>
    </row>
    <row r="22" spans="1:6" ht="18" customHeight="1">
      <c r="A22" s="3" t="s">
        <v>42</v>
      </c>
      <c r="B22" s="4">
        <v>30000000</v>
      </c>
      <c r="C22" s="4">
        <v>50000000</v>
      </c>
      <c r="D22" s="4">
        <v>80000000</v>
      </c>
      <c r="E22" s="5" t="s">
        <v>38</v>
      </c>
      <c r="F22" s="6" t="s">
        <v>43</v>
      </c>
    </row>
    <row r="23" spans="1:6" ht="18" customHeight="1">
      <c r="A23" s="7" t="s">
        <v>44</v>
      </c>
      <c r="B23" s="4">
        <v>5000000</v>
      </c>
      <c r="C23" s="4">
        <v>10000000</v>
      </c>
      <c r="D23" s="4">
        <v>15000000</v>
      </c>
      <c r="E23" s="5" t="s">
        <v>38</v>
      </c>
      <c r="F23" s="6" t="s">
        <v>45</v>
      </c>
    </row>
    <row r="24" spans="1:6" ht="18" customHeight="1">
      <c r="A24" s="9" t="s">
        <v>46</v>
      </c>
      <c r="B24" s="10">
        <f>SUM(B20:B23)</f>
        <v>125000000</v>
      </c>
      <c r="C24" s="10">
        <f>SUM(C20:C23)</f>
        <v>175000000</v>
      </c>
      <c r="D24" s="10">
        <f>SUM(D20:D23)</f>
        <v>245000000</v>
      </c>
    </row>
    <row r="25" spans="1:6" ht="15" customHeight="1">
      <c r="A25" s="61" t="s">
        <v>47</v>
      </c>
      <c r="B25" s="61"/>
      <c r="C25" s="61"/>
      <c r="D25" s="61"/>
      <c r="E25" s="61"/>
      <c r="F25" s="61"/>
    </row>
    <row r="26" spans="1:6" ht="18" customHeight="1">
      <c r="A26" s="3" t="s">
        <v>48</v>
      </c>
      <c r="B26" s="4">
        <v>400000000</v>
      </c>
      <c r="C26" s="4">
        <v>400000000</v>
      </c>
      <c r="D26" s="4">
        <v>400000000</v>
      </c>
      <c r="E26" s="5" t="s">
        <v>10</v>
      </c>
      <c r="F26" s="6" t="s">
        <v>49</v>
      </c>
    </row>
    <row r="27" spans="1:6" ht="18" customHeight="1">
      <c r="A27" s="7" t="s">
        <v>50</v>
      </c>
      <c r="B27" s="4">
        <v>2000000000</v>
      </c>
      <c r="C27" s="4">
        <v>2000000000</v>
      </c>
      <c r="D27" s="4">
        <v>2000000000</v>
      </c>
      <c r="E27" s="5" t="s">
        <v>10</v>
      </c>
      <c r="F27" s="6" t="s">
        <v>51</v>
      </c>
    </row>
    <row r="28" spans="1:6" ht="15" customHeight="1">
      <c r="A28" s="61" t="s">
        <v>52</v>
      </c>
      <c r="B28" s="61"/>
      <c r="C28" s="61"/>
      <c r="D28" s="61"/>
      <c r="E28" s="61"/>
      <c r="F28" s="61"/>
    </row>
    <row r="29" spans="1:6" ht="18" customHeight="1">
      <c r="A29" s="3" t="s">
        <v>53</v>
      </c>
      <c r="B29" s="8">
        <v>0.2</v>
      </c>
      <c r="C29" s="8">
        <v>0.2</v>
      </c>
      <c r="D29" s="8">
        <v>0.2</v>
      </c>
      <c r="E29" s="5" t="s">
        <v>54</v>
      </c>
      <c r="F29" s="13" t="s">
        <v>55</v>
      </c>
    </row>
    <row r="30" spans="1:6" ht="18" customHeight="1">
      <c r="A30" s="11" t="s">
        <v>56</v>
      </c>
      <c r="B30" s="14">
        <f>(1+B29)^(1/12)-1</f>
        <v>1.5309470499731193E-2</v>
      </c>
      <c r="C30" s="14">
        <f>(1+C29)^(1/12)-1</f>
        <v>1.5309470499731193E-2</v>
      </c>
      <c r="D30" s="14">
        <f>(1+D29)^(1/12)-1</f>
        <v>1.5309470499731193E-2</v>
      </c>
    </row>
    <row r="31" spans="1:6" ht="15" customHeight="1">
      <c r="A31" s="61" t="s">
        <v>57</v>
      </c>
      <c r="B31" s="61"/>
      <c r="C31" s="61"/>
      <c r="D31" s="61"/>
      <c r="E31" s="61"/>
      <c r="F31" s="61"/>
    </row>
    <row r="32" spans="1:6" ht="60" customHeight="1">
      <c r="A32" s="60" t="s">
        <v>58</v>
      </c>
      <c r="B32" s="60"/>
      <c r="C32" s="60"/>
      <c r="D32" s="60"/>
      <c r="E32" s="60"/>
      <c r="F32" s="60"/>
    </row>
  </sheetData>
  <mergeCells count="11">
    <mergeCell ref="A1:I1"/>
    <mergeCell ref="A2:I2"/>
    <mergeCell ref="A4:F4"/>
    <mergeCell ref="A8:F8"/>
    <mergeCell ref="A14:F14"/>
    <mergeCell ref="A32:F32"/>
    <mergeCell ref="A17:F17"/>
    <mergeCell ref="A19:F19"/>
    <mergeCell ref="A25:F25"/>
    <mergeCell ref="A28:F28"/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zoomScaleNormal="100" workbookViewId="0">
      <pane xSplit="1" ySplit="3" topLeftCell="B4" activePane="bottomRight" state="frozen"/>
      <selection pane="bottomRight" activeCell="B18" sqref="B18"/>
      <selection pane="bottomLeft" activeCell="A4" sqref="A4"/>
      <selection pane="topRight" activeCell="B1" sqref="B1"/>
    </sheetView>
  </sheetViews>
  <sheetFormatPr defaultColWidth="8.7109375" defaultRowHeight="15"/>
  <cols>
    <col min="1" max="1" width="38" style="1" customWidth="1"/>
    <col min="2" max="4" width="16" style="1" customWidth="1"/>
    <col min="5" max="5" width="14" style="1" customWidth="1"/>
    <col min="6" max="6" width="40" style="1" customWidth="1"/>
  </cols>
  <sheetData>
    <row r="1" spans="1:9" ht="30" customHeight="1">
      <c r="A1" s="55" t="s">
        <v>59</v>
      </c>
      <c r="B1" s="55"/>
      <c r="C1" s="55"/>
      <c r="D1" s="55"/>
      <c r="E1" s="55"/>
      <c r="F1" s="55"/>
      <c r="G1" s="55"/>
      <c r="H1" s="55"/>
      <c r="I1" s="55"/>
    </row>
    <row r="2" spans="1:9" ht="15" customHeight="1">
      <c r="A2" s="56" t="s">
        <v>60</v>
      </c>
      <c r="B2" s="56"/>
      <c r="C2" s="56"/>
      <c r="D2" s="56"/>
      <c r="E2" s="56"/>
      <c r="F2" s="56"/>
      <c r="G2" s="56"/>
      <c r="H2" s="56"/>
      <c r="I2" s="56"/>
    </row>
    <row r="3" spans="1:9" ht="15" customHeight="1">
      <c r="A3" s="2" t="s">
        <v>61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62</v>
      </c>
    </row>
    <row r="4" spans="1:9" ht="15" customHeight="1">
      <c r="A4" s="61" t="s">
        <v>63</v>
      </c>
      <c r="B4" s="61"/>
      <c r="C4" s="61"/>
      <c r="D4" s="61"/>
      <c r="E4" s="61"/>
      <c r="F4" s="61"/>
    </row>
    <row r="5" spans="1:9" ht="18" customHeight="1">
      <c r="A5" s="3" t="s">
        <v>64</v>
      </c>
      <c r="B5" s="15">
        <f>'1. Assumptions'!B5</f>
        <v>3500000</v>
      </c>
      <c r="C5" s="15">
        <f>'1. Assumptions'!C5</f>
        <v>2500000</v>
      </c>
      <c r="D5" s="15">
        <f>'1. Assumptions'!D5</f>
        <v>1500000</v>
      </c>
      <c r="E5" s="5" t="s">
        <v>10</v>
      </c>
      <c r="F5" s="6" t="s">
        <v>65</v>
      </c>
    </row>
    <row r="6" spans="1:9" ht="18" customHeight="1">
      <c r="A6" s="7" t="s">
        <v>66</v>
      </c>
      <c r="B6" s="15">
        <f>'1. Assumptions'!B13</f>
        <v>145000</v>
      </c>
      <c r="C6" s="15">
        <f>'1. Assumptions'!C13</f>
        <v>235000</v>
      </c>
      <c r="D6" s="15">
        <f>'1. Assumptions'!D13</f>
        <v>370000</v>
      </c>
      <c r="E6" s="5" t="s">
        <v>10</v>
      </c>
      <c r="F6" s="6" t="s">
        <v>67</v>
      </c>
    </row>
    <row r="7" spans="1:9" ht="18" customHeight="1">
      <c r="A7" s="16" t="s">
        <v>68</v>
      </c>
      <c r="B7" s="17">
        <f>B5-B6</f>
        <v>3355000</v>
      </c>
      <c r="C7" s="17">
        <f>C5-C6</f>
        <v>2265000</v>
      </c>
      <c r="D7" s="17">
        <f>D5-D6</f>
        <v>1130000</v>
      </c>
      <c r="E7" s="5" t="s">
        <v>10</v>
      </c>
      <c r="F7" s="6" t="s">
        <v>69</v>
      </c>
    </row>
    <row r="8" spans="1:9" ht="18" customHeight="1">
      <c r="A8" s="16" t="s">
        <v>70</v>
      </c>
      <c r="B8" s="18">
        <f>IF(B5=0,0,B7/B5)</f>
        <v>0.95857142857142852</v>
      </c>
      <c r="C8" s="18">
        <f>IF(C5=0,0,C7/C5)</f>
        <v>0.90600000000000003</v>
      </c>
      <c r="D8" s="18">
        <f>IF(D5=0,0,D7/D5)</f>
        <v>0.7533333333333333</v>
      </c>
      <c r="E8" s="5"/>
      <c r="F8" s="6" t="s">
        <v>71</v>
      </c>
    </row>
    <row r="9" spans="1:9" ht="15" customHeight="1">
      <c r="A9" s="58" t="s">
        <v>72</v>
      </c>
      <c r="B9" s="58"/>
      <c r="C9" s="58"/>
      <c r="D9" s="58"/>
      <c r="E9" s="58"/>
      <c r="F9" s="58"/>
    </row>
    <row r="10" spans="1:9" ht="18" customHeight="1">
      <c r="A10" s="3" t="s">
        <v>73</v>
      </c>
      <c r="B10" s="19">
        <f>'1. Assumptions'!B16</f>
        <v>33.333333333333336</v>
      </c>
      <c r="C10" s="19">
        <f>'1. Assumptions'!C16</f>
        <v>16.666666666666668</v>
      </c>
      <c r="D10" s="19">
        <f>'1. Assumptions'!D16</f>
        <v>10</v>
      </c>
      <c r="E10" s="5" t="s">
        <v>74</v>
      </c>
      <c r="F10" s="20" t="s">
        <v>75</v>
      </c>
    </row>
    <row r="11" spans="1:9" ht="18" customHeight="1">
      <c r="A11" s="16" t="s">
        <v>76</v>
      </c>
      <c r="B11" s="17">
        <f>B7*B10</f>
        <v>111833333.33333334</v>
      </c>
      <c r="C11" s="17">
        <f>C7*C10</f>
        <v>37750000</v>
      </c>
      <c r="D11" s="17">
        <f>D7*D10</f>
        <v>11300000</v>
      </c>
      <c r="E11" s="5" t="s">
        <v>10</v>
      </c>
      <c r="F11" s="6" t="s">
        <v>77</v>
      </c>
    </row>
    <row r="12" spans="1:9" ht="15" customHeight="1">
      <c r="A12" s="58" t="s">
        <v>78</v>
      </c>
      <c r="B12" s="58"/>
      <c r="C12" s="58"/>
      <c r="D12" s="58"/>
      <c r="E12" s="58"/>
      <c r="F12" s="58"/>
    </row>
    <row r="13" spans="1:9" ht="18" customHeight="1">
      <c r="A13" s="7" t="s">
        <v>79</v>
      </c>
      <c r="B13" s="15">
        <f>'1. Assumptions'!B19</f>
        <v>0</v>
      </c>
      <c r="C13" s="15">
        <f>'1. Assumptions'!C19</f>
        <v>0</v>
      </c>
      <c r="D13" s="15">
        <f>'1. Assumptions'!D19</f>
        <v>0</v>
      </c>
      <c r="E13" s="5" t="s">
        <v>10</v>
      </c>
      <c r="F13" s="13" t="s">
        <v>80</v>
      </c>
    </row>
    <row r="14" spans="1:9" ht="15" customHeight="1">
      <c r="A14" s="61" t="s">
        <v>81</v>
      </c>
      <c r="B14" s="61"/>
      <c r="C14" s="61"/>
      <c r="D14" s="61"/>
      <c r="E14" s="61"/>
      <c r="F14" s="61"/>
    </row>
    <row r="15" spans="1:9" ht="18" customHeight="1">
      <c r="A15" s="16" t="s">
        <v>82</v>
      </c>
      <c r="B15" s="21">
        <f>IF(B13=0,0,B11/B13)</f>
        <v>0</v>
      </c>
      <c r="C15" s="21">
        <f>IF(C13=0,0,C11/C13)</f>
        <v>0</v>
      </c>
      <c r="D15" s="21">
        <f>IF(D13=0,0,D11/D13)</f>
        <v>0</v>
      </c>
      <c r="E15" s="5"/>
      <c r="F15" s="6" t="s">
        <v>83</v>
      </c>
    </row>
    <row r="16" spans="1:9" ht="18" customHeight="1">
      <c r="A16" s="16" t="s">
        <v>84</v>
      </c>
      <c r="B16" s="22">
        <f>IF(B7=0,0,B13/B7)</f>
        <v>0</v>
      </c>
      <c r="C16" s="22">
        <f>IF(C7=0,0,C13/C7)</f>
        <v>0</v>
      </c>
      <c r="D16" s="22">
        <f>IF(D7=0,0,D13/D7)</f>
        <v>0</v>
      </c>
      <c r="E16" s="5" t="s">
        <v>74</v>
      </c>
      <c r="F16" s="6" t="s">
        <v>85</v>
      </c>
    </row>
    <row r="17" spans="1:6" ht="15" customHeight="1">
      <c r="A17" s="58" t="s">
        <v>86</v>
      </c>
      <c r="B17" s="58"/>
      <c r="C17" s="58"/>
      <c r="D17" s="58"/>
      <c r="E17" s="58"/>
      <c r="F17" s="58"/>
    </row>
    <row r="18" spans="1:6" ht="21.75" customHeight="1">
      <c r="A18" s="23" t="s">
        <v>87</v>
      </c>
      <c r="B18" s="24" t="str">
        <f>IF(AND(B15&gt;=3,B16&lt;=12),"✓ HEALTHY","✗ UNHEALTHY")</f>
        <v>✗ UNHEALTHY</v>
      </c>
      <c r="C18" s="24" t="str">
        <f>IF(AND(C15&gt;=3,C16&lt;=12),"✓ HEALTHY","✗ UNHEALTHY")</f>
        <v>✗ UNHEALTHY</v>
      </c>
      <c r="D18" s="24" t="str">
        <f>IF(AND(D15&gt;=3,D16&lt;=12),"✓ HEALTHY","✗ UNHEALTHY")</f>
        <v>✗ UNHEALTHY</v>
      </c>
    </row>
  </sheetData>
  <mergeCells count="7">
    <mergeCell ref="A14:F14"/>
    <mergeCell ref="A17:F17"/>
    <mergeCell ref="A1:I1"/>
    <mergeCell ref="A2:I2"/>
    <mergeCell ref="A4:F4"/>
    <mergeCell ref="A9:F9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5"/>
  <sheetViews>
    <sheetView zoomScaleNormal="100" workbookViewId="0">
      <pane xSplit="2" ySplit="16" topLeftCell="C17" activePane="bottomRight" state="frozen"/>
      <selection pane="bottomRight" activeCell="A27" sqref="A27"/>
      <selection pane="bottomLeft" activeCell="A17" sqref="A17"/>
      <selection pane="topRight" activeCell="C1" sqref="C1"/>
    </sheetView>
  </sheetViews>
  <sheetFormatPr defaultColWidth="8.7109375" defaultRowHeight="15"/>
  <cols>
    <col min="1" max="1" width="34" style="1" customWidth="1"/>
    <col min="2" max="2" width="13" style="1" customWidth="1"/>
    <col min="3" max="29" width="11" style="1" customWidth="1"/>
  </cols>
  <sheetData>
    <row r="1" spans="1:27" ht="30" customHeight="1">
      <c r="A1" s="55" t="s">
        <v>88</v>
      </c>
      <c r="B1" s="55"/>
      <c r="C1" s="55"/>
      <c r="D1" s="55"/>
      <c r="E1" s="55"/>
      <c r="F1" s="55"/>
      <c r="G1" s="55"/>
      <c r="H1" s="55"/>
      <c r="I1" s="55"/>
    </row>
    <row r="2" spans="1:27" ht="15" customHeight="1">
      <c r="A2" s="56" t="s">
        <v>89</v>
      </c>
      <c r="B2" s="56"/>
      <c r="C2" s="56"/>
      <c r="D2" s="56"/>
      <c r="E2" s="56"/>
      <c r="F2" s="56"/>
      <c r="G2" s="56"/>
      <c r="H2" s="56"/>
      <c r="I2" s="56"/>
    </row>
    <row r="3" spans="1:27" ht="15" customHeight="1">
      <c r="A3" s="23" t="s">
        <v>90</v>
      </c>
      <c r="B3" s="25" t="s">
        <v>4</v>
      </c>
      <c r="C3" s="26" t="s">
        <v>91</v>
      </c>
    </row>
    <row r="4" spans="1:27" ht="15" customHeight="1">
      <c r="A4" s="27" t="s">
        <v>92</v>
      </c>
      <c r="B4" s="28">
        <f>IF(B3="Optimistic",1,IF(B3="Pessimistic",3,2))</f>
        <v>2</v>
      </c>
    </row>
    <row r="5" spans="1:27" ht="15" customHeight="1">
      <c r="A5" s="27" t="s">
        <v>93</v>
      </c>
      <c r="B5" s="29">
        <f>IF(B3="Optimistic",'1. Assumptions'!B5,IF(B3="Pessimistic",'1. Assumptions'!D5,'1. Assumptions'!C5))</f>
        <v>2500000</v>
      </c>
    </row>
    <row r="6" spans="1:27" ht="15" customHeight="1">
      <c r="A6" s="27" t="s">
        <v>94</v>
      </c>
      <c r="B6" s="30">
        <f>IF(B3="Optimistic",'1. Assumptions'!B6,IF(B3="Pessimistic",'1. Assumptions'!D6,'1. Assumptions'!C6))</f>
        <v>4.0000000000000001E-3</v>
      </c>
    </row>
    <row r="7" spans="1:27" ht="15" customHeight="1">
      <c r="A7" s="27" t="s">
        <v>95</v>
      </c>
      <c r="B7" s="29">
        <f>IF(B3="Optimistic",'1. Assumptions'!B7,IF(B3="Pessimistic",'1. Assumptions'!D7,'1. Assumptions'!C7))</f>
        <v>4000</v>
      </c>
    </row>
    <row r="8" spans="1:27" ht="15" customHeight="1">
      <c r="A8" s="27" t="s">
        <v>96</v>
      </c>
      <c r="B8" s="29">
        <f>IF(B3="Optimistic",'1. Assumptions'!B13,IF(B3="Pessimistic",'1. Assumptions'!D13,'1. Assumptions'!C13))</f>
        <v>235000</v>
      </c>
    </row>
    <row r="9" spans="1:27" ht="15" customHeight="1">
      <c r="A9" s="27" t="s">
        <v>97</v>
      </c>
      <c r="B9" s="30">
        <f>IF(B3="Optimistic",'1. Assumptions'!B15,IF(B3="Pessimistic",'1. Assumptions'!D15,'1. Assumptions'!C15))</f>
        <v>0.06</v>
      </c>
    </row>
    <row r="10" spans="1:27" ht="15" customHeight="1">
      <c r="A10" s="27" t="s">
        <v>98</v>
      </c>
      <c r="B10" s="31">
        <f>IF(B3="Optimistic",'1. Assumptions'!B19,IF(B3="Pessimistic",'1. Assumptions'!D19,'1. Assumptions'!C19))</f>
        <v>0</v>
      </c>
    </row>
    <row r="11" spans="1:27" ht="15" customHeight="1">
      <c r="A11" s="27" t="s">
        <v>99</v>
      </c>
      <c r="B11" s="29">
        <f>IF(B3="Optimistic",'1. Assumptions'!B24,IF(B3="Pessimistic",'1. Assumptions'!D24,'1. Assumptions'!C24))</f>
        <v>175000000</v>
      </c>
    </row>
    <row r="12" spans="1:27" ht="15" customHeight="1">
      <c r="A12" s="27" t="s">
        <v>100</v>
      </c>
      <c r="B12" s="29">
        <f>IF(B3="Optimistic",'1. Assumptions'!B27,IF(B3="Pessimistic",'1. Assumptions'!D27,'1. Assumptions'!C27))</f>
        <v>2000000000</v>
      </c>
    </row>
    <row r="13" spans="1:27" ht="15" customHeight="1">
      <c r="A13" s="27" t="s">
        <v>101</v>
      </c>
      <c r="B13" s="31">
        <f>IF(B3="Optimistic",'1. Assumptions'!B28,IF(B3="Pessimistic",'1. Assumptions'!D28,'1. Assumptions'!C28))</f>
        <v>0</v>
      </c>
    </row>
    <row r="14" spans="1:27" ht="15" customHeight="1">
      <c r="A14" s="27" t="s">
        <v>102</v>
      </c>
      <c r="B14" s="32">
        <f>IF(B3="Optimistic",'1. Assumptions'!B30,IF(B3="Pessimistic",'1. Assumptions'!D30,'1. Assumptions'!C30))</f>
        <v>1.5309470499731193E-2</v>
      </c>
    </row>
    <row r="15" spans="1:27" ht="19.5" customHeight="1">
      <c r="A15" s="57" t="s">
        <v>103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18" customHeight="1">
      <c r="A16" s="33" t="s">
        <v>104</v>
      </c>
      <c r="B16" s="34" t="s">
        <v>105</v>
      </c>
      <c r="C16" s="34" t="s">
        <v>106</v>
      </c>
      <c r="D16" s="34" t="s">
        <v>107</v>
      </c>
      <c r="E16" s="34" t="s">
        <v>108</v>
      </c>
      <c r="F16" s="34" t="s">
        <v>109</v>
      </c>
      <c r="G16" s="34" t="s">
        <v>110</v>
      </c>
      <c r="H16" s="34" t="s">
        <v>111</v>
      </c>
      <c r="I16" s="34" t="s">
        <v>112</v>
      </c>
      <c r="J16" s="34" t="s">
        <v>113</v>
      </c>
      <c r="K16" s="34" t="s">
        <v>114</v>
      </c>
      <c r="L16" s="34" t="s">
        <v>115</v>
      </c>
      <c r="M16" s="34" t="s">
        <v>116</v>
      </c>
      <c r="N16" s="34" t="s">
        <v>117</v>
      </c>
      <c r="O16" s="34" t="s">
        <v>118</v>
      </c>
      <c r="P16" s="34" t="s">
        <v>119</v>
      </c>
      <c r="Q16" s="34" t="s">
        <v>120</v>
      </c>
      <c r="R16" s="34" t="s">
        <v>121</v>
      </c>
      <c r="S16" s="34" t="s">
        <v>122</v>
      </c>
      <c r="T16" s="34" t="s">
        <v>123</v>
      </c>
      <c r="U16" s="34" t="s">
        <v>124</v>
      </c>
      <c r="V16" s="34" t="s">
        <v>125</v>
      </c>
      <c r="W16" s="34" t="s">
        <v>126</v>
      </c>
      <c r="X16" s="34" t="s">
        <v>127</v>
      </c>
      <c r="Y16" s="34" t="s">
        <v>128</v>
      </c>
      <c r="Z16" s="34" t="s">
        <v>129</v>
      </c>
    </row>
    <row r="17" spans="1:26" ht="16.5" customHeight="1">
      <c r="A17" s="3" t="s">
        <v>130</v>
      </c>
      <c r="B17" s="17">
        <f>$B$7*$B$6</f>
        <v>16</v>
      </c>
      <c r="C17" s="17">
        <f>$B$7*$B$6</f>
        <v>16</v>
      </c>
      <c r="D17" s="17">
        <f>$B$7*$B$6</f>
        <v>16</v>
      </c>
      <c r="E17" s="17">
        <f>$B$7*$B$6</f>
        <v>16</v>
      </c>
      <c r="F17" s="17">
        <f>$B$7*$B$6</f>
        <v>16</v>
      </c>
      <c r="G17" s="17">
        <f>$B$7*$B$6</f>
        <v>16</v>
      </c>
      <c r="H17" s="17">
        <f>$B$7*$B$6</f>
        <v>16</v>
      </c>
      <c r="I17" s="17">
        <f>$B$7*$B$6</f>
        <v>16</v>
      </c>
      <c r="J17" s="17">
        <f>$B$7*$B$6</f>
        <v>16</v>
      </c>
      <c r="K17" s="17">
        <f>$B$7*$B$6</f>
        <v>16</v>
      </c>
      <c r="L17" s="17">
        <f>$B$7*$B$6</f>
        <v>16</v>
      </c>
      <c r="M17" s="17">
        <f>$B$7*$B$6</f>
        <v>16</v>
      </c>
      <c r="N17" s="17">
        <f>$B$7*$B$6</f>
        <v>16</v>
      </c>
      <c r="O17" s="17">
        <f>$B$7*$B$6</f>
        <v>16</v>
      </c>
      <c r="P17" s="17">
        <f>$B$7*$B$6</f>
        <v>16</v>
      </c>
      <c r="Q17" s="17">
        <f>$B$7*$B$6</f>
        <v>16</v>
      </c>
      <c r="R17" s="17">
        <f>$B$7*$B$6</f>
        <v>16</v>
      </c>
      <c r="S17" s="17">
        <f>$B$7*$B$6</f>
        <v>16</v>
      </c>
      <c r="T17" s="17">
        <f>$B$7*$B$6</f>
        <v>16</v>
      </c>
      <c r="U17" s="17">
        <f>$B$7*$B$6</f>
        <v>16</v>
      </c>
      <c r="V17" s="17">
        <f>$B$7*$B$6</f>
        <v>16</v>
      </c>
      <c r="W17" s="17">
        <f>$B$7*$B$6</f>
        <v>16</v>
      </c>
      <c r="X17" s="17">
        <f>$B$7*$B$6</f>
        <v>16</v>
      </c>
      <c r="Y17" s="17">
        <f>$B$7*$B$6</f>
        <v>16</v>
      </c>
      <c r="Z17" s="35">
        <f>SUM(C17:Y17)</f>
        <v>368</v>
      </c>
    </row>
    <row r="18" spans="1:26" ht="16.5" customHeight="1">
      <c r="A18" s="7" t="s">
        <v>131</v>
      </c>
      <c r="B18" s="36">
        <f>C17</f>
        <v>16</v>
      </c>
      <c r="C18" s="36">
        <f>B18*(1-$B$9)+C17</f>
        <v>31.04</v>
      </c>
      <c r="D18" s="36">
        <f>C18*(1-$B$9)+D17</f>
        <v>45.177599999999998</v>
      </c>
      <c r="E18" s="36">
        <f>D18*(1-$B$9)+E17</f>
        <v>58.466943999999998</v>
      </c>
      <c r="F18" s="36">
        <f>E18*(1-$B$9)+F17</f>
        <v>70.95892735999999</v>
      </c>
      <c r="G18" s="36">
        <f>F18*(1-$B$9)+G17</f>
        <v>82.701391718399989</v>
      </c>
      <c r="H18" s="36">
        <f>G18*(1-$B$9)+H17</f>
        <v>93.739308215295992</v>
      </c>
      <c r="I18" s="36">
        <f>H18*(1-$B$9)+I17</f>
        <v>104.11494972237823</v>
      </c>
      <c r="J18" s="36">
        <f>I18*(1-$B$9)+J17</f>
        <v>113.86805273903553</v>
      </c>
      <c r="K18" s="36">
        <f>J18*(1-$B$9)+K17</f>
        <v>123.0359695746934</v>
      </c>
      <c r="L18" s="36">
        <f>K18*(1-$B$9)+L17</f>
        <v>131.65381140021179</v>
      </c>
      <c r="M18" s="36">
        <f>L18*(1-$B$9)+M17</f>
        <v>139.75458271619908</v>
      </c>
      <c r="N18" s="36">
        <f>M18*(1-$B$9)+N17</f>
        <v>147.36930775322713</v>
      </c>
      <c r="O18" s="36">
        <f>N18*(1-$B$9)+O17</f>
        <v>154.52714928803348</v>
      </c>
      <c r="P18" s="36">
        <f>O18*(1-$B$9)+P17</f>
        <v>161.25552033075147</v>
      </c>
      <c r="Q18" s="36">
        <f>P18*(1-$B$9)+Q17</f>
        <v>167.58018911090636</v>
      </c>
      <c r="R18" s="36">
        <f>Q18*(1-$B$9)+R17</f>
        <v>173.52537776425197</v>
      </c>
      <c r="S18" s="36">
        <f>R18*(1-$B$9)+S17</f>
        <v>179.11385509839684</v>
      </c>
      <c r="T18" s="36">
        <f>S18*(1-$B$9)+T17</f>
        <v>184.36702379249303</v>
      </c>
      <c r="U18" s="36">
        <f>T18*(1-$B$9)+U17</f>
        <v>189.30500236494345</v>
      </c>
      <c r="V18" s="36">
        <f>U18*(1-$B$9)+V17</f>
        <v>193.94670222304683</v>
      </c>
      <c r="W18" s="36">
        <f>V18*(1-$B$9)+W17</f>
        <v>198.30990008966401</v>
      </c>
      <c r="X18" s="36">
        <f>W18*(1-$B$9)+X17</f>
        <v>202.41130608428415</v>
      </c>
      <c r="Y18" s="36">
        <f>X18*(1-$B$9)+Y17</f>
        <v>206.2666277192271</v>
      </c>
      <c r="Z18" s="37">
        <f>Y18</f>
        <v>206.2666277192271</v>
      </c>
    </row>
    <row r="19" spans="1:26" ht="16.5" customHeight="1">
      <c r="A19" s="3" t="s">
        <v>132</v>
      </c>
      <c r="B19" s="17">
        <f>B18*$B$5</f>
        <v>40000000</v>
      </c>
      <c r="C19" s="17">
        <f>C18*$B$5</f>
        <v>77600000</v>
      </c>
      <c r="D19" s="17">
        <f>D18*$B$5</f>
        <v>112944000</v>
      </c>
      <c r="E19" s="17">
        <f>E18*$B$5</f>
        <v>146167360</v>
      </c>
      <c r="F19" s="17">
        <f>F18*$B$5</f>
        <v>177397318.39999998</v>
      </c>
      <c r="G19" s="17">
        <f>G18*$B$5</f>
        <v>206753479.29599997</v>
      </c>
      <c r="H19" s="17">
        <f>H18*$B$5</f>
        <v>234348270.53823999</v>
      </c>
      <c r="I19" s="17">
        <f>I18*$B$5</f>
        <v>260287374.30594558</v>
      </c>
      <c r="J19" s="17">
        <f>J18*$B$5</f>
        <v>284670131.84758884</v>
      </c>
      <c r="K19" s="17">
        <f>K18*$B$5</f>
        <v>307589923.93673348</v>
      </c>
      <c r="L19" s="17">
        <f>L18*$B$5</f>
        <v>329134528.50052947</v>
      </c>
      <c r="M19" s="17">
        <f>M18*$B$5</f>
        <v>349386456.79049772</v>
      </c>
      <c r="N19" s="17">
        <f>N18*$B$5</f>
        <v>368423269.38306785</v>
      </c>
      <c r="O19" s="17">
        <f>O18*$B$5</f>
        <v>386317873.22008371</v>
      </c>
      <c r="P19" s="17">
        <f>P18*$B$5</f>
        <v>403138800.82687867</v>
      </c>
      <c r="Q19" s="17">
        <f>Q18*$B$5</f>
        <v>418950472.77726591</v>
      </c>
      <c r="R19" s="17">
        <f>R18*$B$5</f>
        <v>433813444.41062993</v>
      </c>
      <c r="S19" s="17">
        <f>S18*$B$5</f>
        <v>447784637.74599212</v>
      </c>
      <c r="T19" s="17">
        <f>T18*$B$5</f>
        <v>460917559.48123258</v>
      </c>
      <c r="U19" s="17">
        <f>U18*$B$5</f>
        <v>473262505.91235864</v>
      </c>
      <c r="V19" s="17">
        <f>V18*$B$5</f>
        <v>484866755.55761707</v>
      </c>
      <c r="W19" s="17">
        <f>W18*$B$5</f>
        <v>495774750.22416002</v>
      </c>
      <c r="X19" s="17">
        <f>X18*$B$5</f>
        <v>506028265.21071035</v>
      </c>
      <c r="Y19" s="17">
        <f>Y18*$B$5</f>
        <v>515666569.29806775</v>
      </c>
      <c r="Z19" s="35">
        <f>SUM(C19:Y19)</f>
        <v>7881223747.6636</v>
      </c>
    </row>
    <row r="20" spans="1:26" ht="16.5" customHeight="1">
      <c r="A20" s="3" t="s">
        <v>133</v>
      </c>
      <c r="B20" s="17">
        <f>B18*$B$8</f>
        <v>3760000</v>
      </c>
      <c r="C20" s="17">
        <f>C18*$B$8</f>
        <v>7294400</v>
      </c>
      <c r="D20" s="17">
        <f>D18*$B$8</f>
        <v>10616736</v>
      </c>
      <c r="E20" s="17">
        <f>E18*$B$8</f>
        <v>13739731.84</v>
      </c>
      <c r="F20" s="17">
        <f>F18*$B$8</f>
        <v>16675347.929599999</v>
      </c>
      <c r="G20" s="17">
        <f>G18*$B$8</f>
        <v>19434827.053823996</v>
      </c>
      <c r="H20" s="17">
        <f>H18*$B$8</f>
        <v>22028737.43059456</v>
      </c>
      <c r="I20" s="17">
        <f>I18*$B$8</f>
        <v>24467013.184758883</v>
      </c>
      <c r="J20" s="17">
        <f>J18*$B$8</f>
        <v>26758992.393673349</v>
      </c>
      <c r="K20" s="17">
        <f>K18*$B$8</f>
        <v>28913452.850052949</v>
      </c>
      <c r="L20" s="17">
        <f>L18*$B$8</f>
        <v>30938645.679049771</v>
      </c>
      <c r="M20" s="17">
        <f>M18*$B$8</f>
        <v>32842326.938306782</v>
      </c>
      <c r="N20" s="17">
        <f>N18*$B$8</f>
        <v>34631787.322008379</v>
      </c>
      <c r="O20" s="17">
        <f>O18*$B$8</f>
        <v>36313880.08268787</v>
      </c>
      <c r="P20" s="17">
        <f>P18*$B$8</f>
        <v>37895047.277726598</v>
      </c>
      <c r="Q20" s="17">
        <f>Q18*$B$8</f>
        <v>39381344.441062994</v>
      </c>
      <c r="R20" s="17">
        <f>R18*$B$8</f>
        <v>40778463.774599209</v>
      </c>
      <c r="S20" s="17">
        <f>S18*$B$8</f>
        <v>42091755.948123254</v>
      </c>
      <c r="T20" s="17">
        <f>T18*$B$8</f>
        <v>43326250.591235861</v>
      </c>
      <c r="U20" s="17">
        <f>U18*$B$8</f>
        <v>44486675.55576171</v>
      </c>
      <c r="V20" s="17">
        <f>V18*$B$8</f>
        <v>45577475.022416003</v>
      </c>
      <c r="W20" s="17">
        <f>W18*$B$8</f>
        <v>46602826.521071039</v>
      </c>
      <c r="X20" s="17">
        <f>X18*$B$8</f>
        <v>47566656.929806776</v>
      </c>
      <c r="Y20" s="17">
        <f>Y18*$B$8</f>
        <v>48472657.514018372</v>
      </c>
      <c r="Z20" s="35">
        <f>SUM(C20:Y20)</f>
        <v>740835032.28037846</v>
      </c>
    </row>
    <row r="21" spans="1:26" ht="16.5" customHeight="1">
      <c r="A21" s="16" t="s">
        <v>134</v>
      </c>
      <c r="B21" s="35">
        <f>B19-B20</f>
        <v>36240000</v>
      </c>
      <c r="C21" s="35">
        <f>C19-C20</f>
        <v>70305600</v>
      </c>
      <c r="D21" s="35">
        <f>D19-D20</f>
        <v>102327264</v>
      </c>
      <c r="E21" s="35">
        <f>E19-E20</f>
        <v>132427628.16</v>
      </c>
      <c r="F21" s="35">
        <f>F19-F20</f>
        <v>160721970.47039998</v>
      </c>
      <c r="G21" s="35">
        <f>G19-G20</f>
        <v>187318652.24217597</v>
      </c>
      <c r="H21" s="35">
        <f>H19-H20</f>
        <v>212319533.10764542</v>
      </c>
      <c r="I21" s="35">
        <f>I19-I20</f>
        <v>235820361.1211867</v>
      </c>
      <c r="J21" s="35">
        <f>J19-J20</f>
        <v>257911139.45391548</v>
      </c>
      <c r="K21" s="35">
        <f>K19-K20</f>
        <v>278676471.08668053</v>
      </c>
      <c r="L21" s="35">
        <f>L19-L20</f>
        <v>298195882.82147968</v>
      </c>
      <c r="M21" s="35">
        <f>M19-M20</f>
        <v>316544129.85219091</v>
      </c>
      <c r="N21" s="35">
        <f>N19-N20</f>
        <v>333791482.06105947</v>
      </c>
      <c r="O21" s="35">
        <f>O19-O20</f>
        <v>350003993.13739586</v>
      </c>
      <c r="P21" s="35">
        <f>P19-P20</f>
        <v>365243753.54915208</v>
      </c>
      <c r="Q21" s="35">
        <f>Q19-Q20</f>
        <v>379569128.33620292</v>
      </c>
      <c r="R21" s="35">
        <f>R19-R20</f>
        <v>393034980.63603073</v>
      </c>
      <c r="S21" s="35">
        <f>S19-S20</f>
        <v>405692881.79786885</v>
      </c>
      <c r="T21" s="35">
        <f>T19-T20</f>
        <v>417591308.88999671</v>
      </c>
      <c r="U21" s="35">
        <f>U19-U20</f>
        <v>428775830.35659695</v>
      </c>
      <c r="V21" s="35">
        <f>V19-V20</f>
        <v>439289280.53520107</v>
      </c>
      <c r="W21" s="35">
        <f>W19-W20</f>
        <v>449171923.703089</v>
      </c>
      <c r="X21" s="35">
        <f>X19-X20</f>
        <v>458461608.28090358</v>
      </c>
      <c r="Y21" s="35">
        <f>Y19-Y20</f>
        <v>467193911.78404939</v>
      </c>
      <c r="Z21" s="35">
        <f>SUM(C21:Y21)</f>
        <v>7140388715.3832207</v>
      </c>
    </row>
    <row r="22" spans="1:26" ht="16.5" customHeight="1">
      <c r="A22" s="3" t="s">
        <v>135</v>
      </c>
      <c r="B22" s="17">
        <f>B17*$B$10</f>
        <v>0</v>
      </c>
      <c r="C22" s="17">
        <f>C17*$B$10</f>
        <v>0</v>
      </c>
      <c r="D22" s="17">
        <f>D17*$B$10</f>
        <v>0</v>
      </c>
      <c r="E22" s="17">
        <f>E17*$B$10</f>
        <v>0</v>
      </c>
      <c r="F22" s="17">
        <f>F17*$B$10</f>
        <v>0</v>
      </c>
      <c r="G22" s="17">
        <f>G17*$B$10</f>
        <v>0</v>
      </c>
      <c r="H22" s="17">
        <f>H17*$B$10</f>
        <v>0</v>
      </c>
      <c r="I22" s="17">
        <f>I17*$B$10</f>
        <v>0</v>
      </c>
      <c r="J22" s="17">
        <f>J17*$B$10</f>
        <v>0</v>
      </c>
      <c r="K22" s="17">
        <f>K17*$B$10</f>
        <v>0</v>
      </c>
      <c r="L22" s="17">
        <f>L17*$B$10</f>
        <v>0</v>
      </c>
      <c r="M22" s="17">
        <f>M17*$B$10</f>
        <v>0</v>
      </c>
      <c r="N22" s="17">
        <f>N17*$B$10</f>
        <v>0</v>
      </c>
      <c r="O22" s="17">
        <f>O17*$B$10</f>
        <v>0</v>
      </c>
      <c r="P22" s="17">
        <f>P17*$B$10</f>
        <v>0</v>
      </c>
      <c r="Q22" s="17">
        <f>Q17*$B$10</f>
        <v>0</v>
      </c>
      <c r="R22" s="17">
        <f>R17*$B$10</f>
        <v>0</v>
      </c>
      <c r="S22" s="17">
        <f>S17*$B$10</f>
        <v>0</v>
      </c>
      <c r="T22" s="17">
        <f>T17*$B$10</f>
        <v>0</v>
      </c>
      <c r="U22" s="17">
        <f>U17*$B$10</f>
        <v>0</v>
      </c>
      <c r="V22" s="17">
        <f>V17*$B$10</f>
        <v>0</v>
      </c>
      <c r="W22" s="17">
        <f>W17*$B$10</f>
        <v>0</v>
      </c>
      <c r="X22" s="17">
        <f>X17*$B$10</f>
        <v>0</v>
      </c>
      <c r="Y22" s="17">
        <f>Y17*$B$10</f>
        <v>0</v>
      </c>
      <c r="Z22" s="35">
        <f>SUM(C22:Y22)</f>
        <v>0</v>
      </c>
    </row>
    <row r="23" spans="1:26" ht="16.5" customHeight="1">
      <c r="A23" s="3" t="s">
        <v>136</v>
      </c>
      <c r="B23" s="17">
        <f>$B$11</f>
        <v>175000000</v>
      </c>
      <c r="C23" s="17">
        <f>$B$11</f>
        <v>175000000</v>
      </c>
      <c r="D23" s="17">
        <f>$B$11</f>
        <v>175000000</v>
      </c>
      <c r="E23" s="17">
        <f>$B$11</f>
        <v>175000000</v>
      </c>
      <c r="F23" s="17">
        <f>$B$11</f>
        <v>175000000</v>
      </c>
      <c r="G23" s="17">
        <f>$B$11</f>
        <v>175000000</v>
      </c>
      <c r="H23" s="17">
        <f>$B$11</f>
        <v>175000000</v>
      </c>
      <c r="I23" s="17">
        <f>$B$11</f>
        <v>175000000</v>
      </c>
      <c r="J23" s="17">
        <f>$B$11</f>
        <v>175000000</v>
      </c>
      <c r="K23" s="17">
        <f>$B$11</f>
        <v>175000000</v>
      </c>
      <c r="L23" s="17">
        <f>$B$11</f>
        <v>175000000</v>
      </c>
      <c r="M23" s="17">
        <f>$B$11</f>
        <v>175000000</v>
      </c>
      <c r="N23" s="17">
        <f>$B$11</f>
        <v>175000000</v>
      </c>
      <c r="O23" s="17">
        <f>$B$11</f>
        <v>175000000</v>
      </c>
      <c r="P23" s="17">
        <f>$B$11</f>
        <v>175000000</v>
      </c>
      <c r="Q23" s="17">
        <f>$B$11</f>
        <v>175000000</v>
      </c>
      <c r="R23" s="17">
        <f>$B$11</f>
        <v>175000000</v>
      </c>
      <c r="S23" s="17">
        <f>$B$11</f>
        <v>175000000</v>
      </c>
      <c r="T23" s="17">
        <f>$B$11</f>
        <v>175000000</v>
      </c>
      <c r="U23" s="17">
        <f>$B$11</f>
        <v>175000000</v>
      </c>
      <c r="V23" s="17">
        <f>$B$11</f>
        <v>175000000</v>
      </c>
      <c r="W23" s="17">
        <f>$B$11</f>
        <v>175000000</v>
      </c>
      <c r="X23" s="17">
        <f>$B$11</f>
        <v>175000000</v>
      </c>
      <c r="Y23" s="17">
        <f>$B$11</f>
        <v>175000000</v>
      </c>
      <c r="Z23" s="35">
        <f>SUM(C23:Y23)</f>
        <v>4025000000</v>
      </c>
    </row>
    <row r="24" spans="1:26" ht="16.5" customHeight="1">
      <c r="A24" s="9" t="s">
        <v>137</v>
      </c>
      <c r="B24" s="10">
        <f>B21-B22-B23</f>
        <v>-138760000</v>
      </c>
      <c r="C24" s="10">
        <f>C21-C22-C23</f>
        <v>-104694400</v>
      </c>
      <c r="D24" s="10">
        <f>D21-D22-D23</f>
        <v>-72672736</v>
      </c>
      <c r="E24" s="10">
        <f>E21-E22-E23</f>
        <v>-42572371.840000004</v>
      </c>
      <c r="F24" s="10">
        <f>F21-F22-F23</f>
        <v>-14278029.529600024</v>
      </c>
      <c r="G24" s="10">
        <f>G21-G22-G23</f>
        <v>12318652.242175967</v>
      </c>
      <c r="H24" s="10">
        <f>H21-H22-H23</f>
        <v>37319533.107645422</v>
      </c>
      <c r="I24" s="10">
        <f>I21-I22-I23</f>
        <v>60820361.121186703</v>
      </c>
      <c r="J24" s="10">
        <f>J21-J22-J23</f>
        <v>82911139.453915477</v>
      </c>
      <c r="K24" s="10">
        <f>K21-K22-K23</f>
        <v>103676471.08668053</v>
      </c>
      <c r="L24" s="10">
        <f>L21-L22-L23</f>
        <v>123195882.82147968</v>
      </c>
      <c r="M24" s="10">
        <f>M21-M22-M23</f>
        <v>141544129.85219091</v>
      </c>
      <c r="N24" s="10">
        <f>N21-N22-N23</f>
        <v>158791482.06105947</v>
      </c>
      <c r="O24" s="10">
        <f>O21-O22-O23</f>
        <v>175003993.13739586</v>
      </c>
      <c r="P24" s="10">
        <f>P21-P22-P23</f>
        <v>190243753.54915208</v>
      </c>
      <c r="Q24" s="10">
        <f>Q21-Q22-Q23</f>
        <v>204569128.33620292</v>
      </c>
      <c r="R24" s="10">
        <f>R21-R22-R23</f>
        <v>218034980.63603073</v>
      </c>
      <c r="S24" s="10">
        <f>S21-S22-S23</f>
        <v>230692881.79786885</v>
      </c>
      <c r="T24" s="10">
        <f>T21-T22-T23</f>
        <v>242591308.88999671</v>
      </c>
      <c r="U24" s="10">
        <f>U21-U22-U23</f>
        <v>253775830.35659695</v>
      </c>
      <c r="V24" s="10">
        <f>V21-V22-V23</f>
        <v>264289280.53520107</v>
      </c>
      <c r="W24" s="10">
        <f>W21-W22-W23</f>
        <v>274171923.703089</v>
      </c>
      <c r="X24" s="10">
        <f>X21-X22-X23</f>
        <v>283461608.28090358</v>
      </c>
      <c r="Y24" s="10">
        <f>Y21-Y22-Y23</f>
        <v>292193911.78404939</v>
      </c>
      <c r="Z24" s="35">
        <f>SUM(C24:Y24)</f>
        <v>3115388715.3832211</v>
      </c>
    </row>
    <row r="25" spans="1:26" ht="16.5" customHeight="1">
      <c r="A25" s="9" t="s">
        <v>138</v>
      </c>
      <c r="B25" s="10">
        <f>B24-$B$12</f>
        <v>-2138760000</v>
      </c>
      <c r="C25" s="10">
        <f>C24</f>
        <v>-104694400</v>
      </c>
      <c r="D25" s="10">
        <f>D24</f>
        <v>-72672736</v>
      </c>
      <c r="E25" s="10">
        <f>E24</f>
        <v>-42572371.840000004</v>
      </c>
      <c r="F25" s="10">
        <f>F24</f>
        <v>-14278029.529600024</v>
      </c>
      <c r="G25" s="10">
        <f>G24</f>
        <v>12318652.242175967</v>
      </c>
      <c r="H25" s="10">
        <f>H24</f>
        <v>37319533.107645422</v>
      </c>
      <c r="I25" s="10">
        <f>I24</f>
        <v>60820361.121186703</v>
      </c>
      <c r="J25" s="10">
        <f>J24</f>
        <v>82911139.453915477</v>
      </c>
      <c r="K25" s="10">
        <f>K24</f>
        <v>103676471.08668053</v>
      </c>
      <c r="L25" s="10">
        <f>L24</f>
        <v>123195882.82147968</v>
      </c>
      <c r="M25" s="10">
        <f>M24</f>
        <v>141544129.85219091</v>
      </c>
      <c r="N25" s="10">
        <f>N24</f>
        <v>158791482.06105947</v>
      </c>
      <c r="O25" s="10">
        <f>O24</f>
        <v>175003993.13739586</v>
      </c>
      <c r="P25" s="10">
        <f>P24</f>
        <v>190243753.54915208</v>
      </c>
      <c r="Q25" s="10">
        <f>Q24</f>
        <v>204569128.33620292</v>
      </c>
      <c r="R25" s="10">
        <f>R24</f>
        <v>218034980.63603073</v>
      </c>
      <c r="S25" s="10">
        <f>S24</f>
        <v>230692881.79786885</v>
      </c>
      <c r="T25" s="10">
        <f>T24</f>
        <v>242591308.88999671</v>
      </c>
      <c r="U25" s="10">
        <f>U24</f>
        <v>253775830.35659695</v>
      </c>
      <c r="V25" s="10">
        <f>V24</f>
        <v>264289280.53520107</v>
      </c>
      <c r="W25" s="10">
        <f>W24</f>
        <v>274171923.703089</v>
      </c>
      <c r="X25" s="10">
        <f>X24</f>
        <v>283461608.28090358</v>
      </c>
      <c r="Y25" s="10">
        <f>Y24</f>
        <v>292193911.78404939</v>
      </c>
      <c r="Z25" s="35">
        <f>SUM(C25:Y25)</f>
        <v>3115388715.3832211</v>
      </c>
    </row>
    <row r="26" spans="1:26" ht="16.5" customHeight="1">
      <c r="A26" s="38" t="s">
        <v>139</v>
      </c>
      <c r="B26" s="39">
        <f>$B$13+B25</f>
        <v>-2138760000</v>
      </c>
      <c r="C26" s="39">
        <f>B26+C25</f>
        <v>-2243454400</v>
      </c>
      <c r="D26" s="39">
        <f>C26+D25</f>
        <v>-2316127136</v>
      </c>
      <c r="E26" s="39">
        <f>D26+E25</f>
        <v>-2358699507.8400002</v>
      </c>
      <c r="F26" s="39">
        <f>E26+F25</f>
        <v>-2372977537.3696003</v>
      </c>
      <c r="G26" s="39">
        <f>F26+G25</f>
        <v>-2360658885.1274242</v>
      </c>
      <c r="H26" s="39">
        <f>G26+H25</f>
        <v>-2323339352.0197787</v>
      </c>
      <c r="I26" s="39">
        <f>H26+I25</f>
        <v>-2262518990.898592</v>
      </c>
      <c r="J26" s="39">
        <f>I26+J25</f>
        <v>-2179607851.4446764</v>
      </c>
      <c r="K26" s="39">
        <f>J26+K25</f>
        <v>-2075931380.357996</v>
      </c>
      <c r="L26" s="39">
        <f>K26+L25</f>
        <v>-1952735497.5365162</v>
      </c>
      <c r="M26" s="39">
        <f>L26+M25</f>
        <v>-1811191367.6843252</v>
      </c>
      <c r="N26" s="39">
        <f>M26+N25</f>
        <v>-1652399885.6232657</v>
      </c>
      <c r="O26" s="39">
        <f>N26+O25</f>
        <v>-1477395892.4858699</v>
      </c>
      <c r="P26" s="39">
        <f>O26+P25</f>
        <v>-1287152138.9367177</v>
      </c>
      <c r="Q26" s="39">
        <f>P26+Q25</f>
        <v>-1082583010.6005149</v>
      </c>
      <c r="R26" s="39">
        <f>Q26+R25</f>
        <v>-864548029.96448421</v>
      </c>
      <c r="S26" s="39">
        <f>R26+S25</f>
        <v>-633855148.16661537</v>
      </c>
      <c r="T26" s="39">
        <f>S26+T25</f>
        <v>-391263839.27661866</v>
      </c>
      <c r="U26" s="39">
        <f>T26+U25</f>
        <v>-137488008.92002171</v>
      </c>
      <c r="V26" s="39">
        <f>U26+V25</f>
        <v>126801271.61517936</v>
      </c>
      <c r="W26" s="39">
        <f>V26+W25</f>
        <v>400973195.31826836</v>
      </c>
      <c r="X26" s="39">
        <f>W26+X25</f>
        <v>684434803.59917188</v>
      </c>
      <c r="Y26" s="39">
        <f>X26+Y25</f>
        <v>976628715.38322127</v>
      </c>
      <c r="Z26" s="39">
        <f>Y26</f>
        <v>976628715.38322127</v>
      </c>
    </row>
    <row r="28" spans="1:26" ht="18" customHeight="1">
      <c r="A28" s="58" t="s">
        <v>140</v>
      </c>
      <c r="B28" s="58"/>
      <c r="C28" s="58"/>
      <c r="D28" s="58"/>
      <c r="E28" s="58"/>
      <c r="F28" s="58"/>
    </row>
    <row r="29" spans="1:26" ht="19.5" customHeight="1">
      <c r="A29" s="23" t="s">
        <v>141</v>
      </c>
      <c r="B29" s="40">
        <f>($B$13-$B$12+NPV($B$14,C25:Y25))/1000000</f>
        <v>381.61879659792186</v>
      </c>
      <c r="C29" s="41" t="s">
        <v>142</v>
      </c>
    </row>
    <row r="30" spans="1:26" ht="19.5" customHeight="1">
      <c r="A30" s="23" t="s">
        <v>143</v>
      </c>
      <c r="B30" s="42">
        <f>IFERROR((1+IRR(C25:Y25,0.01))^12-1,"N/A")</f>
        <v>12.104363575487001</v>
      </c>
      <c r="C30" s="43" t="s">
        <v>144</v>
      </c>
    </row>
    <row r="31" spans="1:26" ht="19.5" customHeight="1">
      <c r="A31" s="23" t="s">
        <v>145</v>
      </c>
      <c r="B31" s="44" t="str">
        <f>IFERROR(MATCH(TRUE(),C26:Y26&gt;0,0),"&gt;24")</f>
        <v>&gt;24</v>
      </c>
      <c r="C31" s="41" t="s">
        <v>146</v>
      </c>
    </row>
    <row r="32" spans="1:26" ht="19.5" customHeight="1">
      <c r="A32" s="23" t="s">
        <v>147</v>
      </c>
      <c r="B32" s="44" t="e">
        <f>IF(MIN(C26:Y26)&gt;0,"&gt;= 24",MATCH(TRUE(),C26:Y26&lt;=0,0)-1)</f>
        <v>#VALUE!</v>
      </c>
      <c r="C32" s="41" t="s">
        <v>148</v>
      </c>
    </row>
    <row r="34" spans="1:2" ht="21.75" customHeight="1">
      <c r="A34" s="59" t="s">
        <v>149</v>
      </c>
      <c r="B34" s="59"/>
    </row>
    <row r="35" spans="1:2" ht="21.75" customHeight="1">
      <c r="A35" s="23" t="s">
        <v>150</v>
      </c>
      <c r="B35" s="45" t="str">
        <f>IF(AND(B29&gt;0,ISNUMBER(B30),B30&gt;'1. Assumptions'!C29),"✓ GO — NPV+ và IRR &gt; WACC","✗ WAIT — Cần review assumptions")</f>
        <v>✓ GO — NPV+ và IRR &gt; WACC</v>
      </c>
    </row>
  </sheetData>
  <mergeCells count="5">
    <mergeCell ref="A1:I1"/>
    <mergeCell ref="A2:I2"/>
    <mergeCell ref="A15:AA15"/>
    <mergeCell ref="A28:F28"/>
    <mergeCell ref="A34:B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zoomScaleNormal="100" workbookViewId="0"/>
  </sheetViews>
  <sheetFormatPr defaultColWidth="8.7109375" defaultRowHeight="15"/>
  <cols>
    <col min="1" max="1" width="30" style="1" customWidth="1"/>
    <col min="2" max="9" width="15" style="1" customWidth="1"/>
  </cols>
  <sheetData>
    <row r="1" spans="1:9" ht="30" customHeight="1">
      <c r="A1" s="55" t="s">
        <v>151</v>
      </c>
      <c r="B1" s="55"/>
      <c r="C1" s="55"/>
      <c r="D1" s="55"/>
      <c r="E1" s="55"/>
      <c r="F1" s="55"/>
      <c r="G1" s="55"/>
      <c r="H1" s="55"/>
      <c r="I1" s="55"/>
    </row>
    <row r="2" spans="1:9" ht="15" customHeight="1">
      <c r="A2" s="56" t="s">
        <v>152</v>
      </c>
      <c r="B2" s="56"/>
      <c r="C2" s="56"/>
      <c r="D2" s="56"/>
      <c r="E2" s="56"/>
      <c r="F2" s="56"/>
      <c r="G2" s="56"/>
      <c r="H2" s="56"/>
      <c r="I2" s="56"/>
    </row>
    <row r="3" spans="1:9" ht="15" customHeight="1">
      <c r="A3" s="62" t="s">
        <v>153</v>
      </c>
      <c r="B3" s="62"/>
      <c r="C3" s="62"/>
      <c r="D3" s="62"/>
      <c r="E3" s="62"/>
      <c r="F3" s="62"/>
      <c r="G3" s="62"/>
      <c r="H3" s="62"/>
    </row>
    <row r="4" spans="1:9" ht="15" customHeight="1">
      <c r="A4" s="33" t="s">
        <v>154</v>
      </c>
      <c r="B4" s="34" t="s">
        <v>155</v>
      </c>
      <c r="C4" s="34" t="s">
        <v>156</v>
      </c>
      <c r="D4" s="34" t="s">
        <v>157</v>
      </c>
      <c r="E4" s="34" t="s">
        <v>158</v>
      </c>
      <c r="F4" s="34" t="s">
        <v>159</v>
      </c>
      <c r="G4" s="34" t="s">
        <v>160</v>
      </c>
      <c r="H4" s="34" t="s">
        <v>161</v>
      </c>
    </row>
    <row r="5" spans="1:9" ht="18" customHeight="1">
      <c r="A5" s="33" t="s">
        <v>162</v>
      </c>
      <c r="B5" s="46">
        <v>8.5</v>
      </c>
      <c r="C5" s="46">
        <v>6.4</v>
      </c>
      <c r="D5" s="46">
        <v>5.0999999999999996</v>
      </c>
      <c r="E5" s="46">
        <v>4.2</v>
      </c>
      <c r="F5" s="46">
        <v>3.2</v>
      </c>
      <c r="G5" s="47">
        <v>2.5</v>
      </c>
      <c r="H5" s="47">
        <v>2.1</v>
      </c>
    </row>
    <row r="6" spans="1:9" ht="18" customHeight="1">
      <c r="A6" s="33" t="s">
        <v>163</v>
      </c>
      <c r="B6" s="46">
        <v>14.1</v>
      </c>
      <c r="C6" s="46">
        <v>10.5</v>
      </c>
      <c r="D6" s="46">
        <v>8.4</v>
      </c>
      <c r="E6" s="46">
        <v>7</v>
      </c>
      <c r="F6" s="46">
        <v>5.3</v>
      </c>
      <c r="G6" s="46">
        <v>4.2</v>
      </c>
      <c r="H6" s="46">
        <v>3.5</v>
      </c>
    </row>
    <row r="7" spans="1:9" ht="18" customHeight="1">
      <c r="A7" s="33" t="s">
        <v>164</v>
      </c>
      <c r="B7" s="46">
        <v>19.600000000000001</v>
      </c>
      <c r="C7" s="46">
        <v>14.7</v>
      </c>
      <c r="D7" s="46">
        <v>11.8</v>
      </c>
      <c r="E7" s="46">
        <v>9.8000000000000007</v>
      </c>
      <c r="F7" s="46">
        <v>7.4</v>
      </c>
      <c r="G7" s="46">
        <v>5.9</v>
      </c>
      <c r="H7" s="46">
        <v>4.9000000000000004</v>
      </c>
    </row>
    <row r="8" spans="1:9" ht="18" customHeight="1">
      <c r="A8" s="33" t="s">
        <v>165</v>
      </c>
      <c r="B8" s="46">
        <v>25.2</v>
      </c>
      <c r="C8" s="46">
        <v>18.899999999999999</v>
      </c>
      <c r="D8" s="46">
        <v>15.1</v>
      </c>
      <c r="E8" s="46">
        <v>12.6</v>
      </c>
      <c r="F8" s="46">
        <v>9.4</v>
      </c>
      <c r="G8" s="46">
        <v>7.5</v>
      </c>
      <c r="H8" s="46">
        <v>6.3</v>
      </c>
    </row>
    <row r="9" spans="1:9" ht="18" customHeight="1">
      <c r="A9" s="33" t="s">
        <v>166</v>
      </c>
      <c r="B9" s="46">
        <v>30.7</v>
      </c>
      <c r="C9" s="46">
        <v>23</v>
      </c>
      <c r="D9" s="46">
        <v>18.399999999999999</v>
      </c>
      <c r="E9" s="46">
        <v>15.4</v>
      </c>
      <c r="F9" s="46">
        <v>11.5</v>
      </c>
      <c r="G9" s="46">
        <v>9.1999999999999993</v>
      </c>
      <c r="H9" s="46">
        <v>7.7</v>
      </c>
    </row>
    <row r="10" spans="1:9" ht="18" customHeight="1">
      <c r="A10" s="33" t="s">
        <v>167</v>
      </c>
      <c r="B10" s="46">
        <v>36.299999999999997</v>
      </c>
      <c r="C10" s="46">
        <v>27.2</v>
      </c>
      <c r="D10" s="46">
        <v>21.8</v>
      </c>
      <c r="E10" s="46">
        <v>18.100000000000001</v>
      </c>
      <c r="F10" s="46">
        <v>13.6</v>
      </c>
      <c r="G10" s="46">
        <v>10.9</v>
      </c>
      <c r="H10" s="46">
        <v>9.1</v>
      </c>
    </row>
    <row r="11" spans="1:9" ht="18" customHeight="1">
      <c r="A11" s="33" t="s">
        <v>168</v>
      </c>
      <c r="B11" s="46">
        <v>41.8</v>
      </c>
      <c r="C11" s="46">
        <v>31.4</v>
      </c>
      <c r="D11" s="46">
        <v>25.1</v>
      </c>
      <c r="E11" s="46">
        <v>20.9</v>
      </c>
      <c r="F11" s="46">
        <v>15.7</v>
      </c>
      <c r="G11" s="46">
        <v>12.6</v>
      </c>
      <c r="H11" s="46">
        <v>10.5</v>
      </c>
    </row>
    <row r="13" spans="1:9" ht="15" customHeight="1">
      <c r="A13" s="23" t="s">
        <v>169</v>
      </c>
      <c r="B13" s="48" t="s">
        <v>170</v>
      </c>
      <c r="C13" s="49" t="s">
        <v>171</v>
      </c>
      <c r="D13" s="50" t="s">
        <v>172</v>
      </c>
    </row>
    <row r="15" spans="1:9" ht="15" customHeight="1">
      <c r="A15" s="62" t="s">
        <v>173</v>
      </c>
      <c r="B15" s="62"/>
      <c r="C15" s="62"/>
      <c r="D15" s="62"/>
      <c r="E15" s="62"/>
      <c r="F15" s="62"/>
      <c r="G15" s="62"/>
      <c r="H15" s="62"/>
    </row>
    <row r="16" spans="1:9" ht="15" customHeight="1">
      <c r="A16" s="33" t="s">
        <v>174</v>
      </c>
      <c r="B16" s="34" t="s">
        <v>175</v>
      </c>
      <c r="C16" s="34" t="s">
        <v>176</v>
      </c>
      <c r="D16" s="34" t="s">
        <v>177</v>
      </c>
      <c r="E16" s="34" t="s">
        <v>178</v>
      </c>
      <c r="F16" s="34" t="s">
        <v>179</v>
      </c>
      <c r="G16" s="34" t="s">
        <v>180</v>
      </c>
      <c r="H16" s="34" t="s">
        <v>181</v>
      </c>
    </row>
    <row r="17" spans="1:8" ht="18" customHeight="1">
      <c r="A17" s="33" t="s">
        <v>162</v>
      </c>
      <c r="B17" s="51">
        <v>35</v>
      </c>
      <c r="C17" s="51">
        <v>70</v>
      </c>
      <c r="D17" s="52">
        <v>105</v>
      </c>
      <c r="E17" s="52">
        <v>140</v>
      </c>
      <c r="F17" s="53">
        <v>210</v>
      </c>
      <c r="G17" s="53">
        <v>280</v>
      </c>
      <c r="H17" s="53">
        <v>419</v>
      </c>
    </row>
    <row r="18" spans="1:8" ht="18" customHeight="1">
      <c r="A18" s="33" t="s">
        <v>163</v>
      </c>
      <c r="B18" s="51">
        <v>52</v>
      </c>
      <c r="C18" s="52">
        <v>105</v>
      </c>
      <c r="D18" s="52">
        <v>157</v>
      </c>
      <c r="E18" s="53">
        <v>210</v>
      </c>
      <c r="F18" s="53">
        <v>314</v>
      </c>
      <c r="G18" s="53">
        <v>419</v>
      </c>
      <c r="H18" s="53">
        <v>629</v>
      </c>
    </row>
    <row r="19" spans="1:8" ht="18" customHeight="1">
      <c r="A19" s="33" t="s">
        <v>164</v>
      </c>
      <c r="B19" s="51">
        <v>70</v>
      </c>
      <c r="C19" s="52">
        <v>140</v>
      </c>
      <c r="D19" s="53">
        <v>210</v>
      </c>
      <c r="E19" s="53">
        <v>280</v>
      </c>
      <c r="F19" s="53">
        <v>419</v>
      </c>
      <c r="G19" s="53">
        <v>559</v>
      </c>
      <c r="H19" s="53">
        <v>839</v>
      </c>
    </row>
    <row r="20" spans="1:8" ht="18" customHeight="1">
      <c r="A20" s="33" t="s">
        <v>165</v>
      </c>
      <c r="B20" s="52">
        <v>87</v>
      </c>
      <c r="C20" s="52">
        <v>175</v>
      </c>
      <c r="D20" s="53">
        <v>262</v>
      </c>
      <c r="E20" s="53">
        <v>349</v>
      </c>
      <c r="F20" s="53">
        <v>524</v>
      </c>
      <c r="G20" s="53">
        <v>699</v>
      </c>
      <c r="H20" s="53">
        <v>1048</v>
      </c>
    </row>
    <row r="21" spans="1:8" ht="18" customHeight="1">
      <c r="A21" s="33" t="s">
        <v>166</v>
      </c>
      <c r="B21" s="52">
        <v>105</v>
      </c>
      <c r="C21" s="53">
        <v>210</v>
      </c>
      <c r="D21" s="53">
        <v>314</v>
      </c>
      <c r="E21" s="53">
        <v>419</v>
      </c>
      <c r="F21" s="53">
        <v>629</v>
      </c>
      <c r="G21" s="53">
        <v>839</v>
      </c>
      <c r="H21" s="53">
        <v>1258</v>
      </c>
    </row>
    <row r="22" spans="1:8" ht="18" customHeight="1">
      <c r="A22" s="33" t="s">
        <v>167</v>
      </c>
      <c r="B22" s="52">
        <v>122</v>
      </c>
      <c r="C22" s="53">
        <v>245</v>
      </c>
      <c r="D22" s="53">
        <v>367</v>
      </c>
      <c r="E22" s="53">
        <v>489</v>
      </c>
      <c r="F22" s="53">
        <v>734</v>
      </c>
      <c r="G22" s="53">
        <v>978</v>
      </c>
      <c r="H22" s="53">
        <v>1467</v>
      </c>
    </row>
    <row r="23" spans="1:8" ht="18" customHeight="1">
      <c r="A23" s="33" t="s">
        <v>168</v>
      </c>
      <c r="B23" s="52">
        <v>140</v>
      </c>
      <c r="C23" s="53">
        <v>280</v>
      </c>
      <c r="D23" s="53">
        <v>419</v>
      </c>
      <c r="E23" s="53">
        <v>559</v>
      </c>
      <c r="F23" s="53">
        <v>839</v>
      </c>
      <c r="G23" s="53">
        <v>1118</v>
      </c>
      <c r="H23" s="53">
        <v>1677</v>
      </c>
    </row>
    <row r="26" spans="1:8" ht="15" customHeight="1">
      <c r="A26" s="54" t="s">
        <v>182</v>
      </c>
    </row>
  </sheetData>
  <mergeCells count="4">
    <mergeCell ref="A1:I1"/>
    <mergeCell ref="A2:I2"/>
    <mergeCell ref="A3:H3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2026-05-04T04:59:14Z</dcterms:created>
  <dcterms:modified xsi:type="dcterms:W3CDTF">2026-05-04T05:39:24Z</dcterms:modified>
  <cp:category/>
  <cp:contentStatus/>
</cp:coreProperties>
</file>